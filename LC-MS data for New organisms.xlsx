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Ferrozine biseptata paper/Mass Spec data/"/>
    </mc:Choice>
  </mc:AlternateContent>
  <xr:revisionPtr revIDLastSave="967" documentId="11_AA2932A5763DFB831AA0FF43E9CDF24B76F0102C" xr6:coauthVersionLast="47" xr6:coauthVersionMax="47" xr10:uidLastSave="{16FC60A6-2369-4722-931C-F68732EBDD80}"/>
  <bookViews>
    <workbookView xWindow="-108" yWindow="-108" windowWidth="23256" windowHeight="12576" firstSheet="1" activeTab="7" xr2:uid="{00000000-000D-0000-FFFF-FFFF00000000}"/>
  </bookViews>
  <sheets>
    <sheet name="V.victoriae" sheetId="1" r:id="rId1"/>
    <sheet name="Ustilago N." sheetId="2" r:id="rId2"/>
    <sheet name="A. Flavus" sheetId="3" r:id="rId3"/>
    <sheet name="SIT1 yeast" sheetId="6" r:id="rId4"/>
    <sheet name="FRE2" sheetId="7" r:id="rId5"/>
    <sheet name="ARN1 &amp; 2" sheetId="8" r:id="rId6"/>
    <sheet name="Sporobolomyces ruberrimus" sheetId="4" r:id="rId7"/>
    <sheet name="BKM1767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8" l="1"/>
  <c r="H4" i="8"/>
  <c r="H4" i="7"/>
  <c r="I6" i="5"/>
  <c r="I5" i="5"/>
  <c r="H6" i="5"/>
  <c r="H5" i="5"/>
  <c r="E5" i="5"/>
  <c r="I7" i="4"/>
  <c r="I6" i="4"/>
  <c r="H7" i="4"/>
  <c r="H6" i="4"/>
  <c r="E6" i="4"/>
  <c r="H6" i="6"/>
  <c r="H5" i="6"/>
  <c r="G6" i="6"/>
  <c r="G5" i="6"/>
  <c r="D5" i="6"/>
  <c r="R6" i="3"/>
  <c r="R5" i="3"/>
  <c r="Q6" i="3"/>
  <c r="Q5" i="3"/>
  <c r="I6" i="3"/>
  <c r="I5" i="3"/>
  <c r="H6" i="3"/>
  <c r="H5" i="3"/>
  <c r="E5" i="3"/>
  <c r="I8" i="2"/>
  <c r="I7" i="2"/>
  <c r="H8" i="2"/>
  <c r="H7" i="2"/>
  <c r="E7" i="2"/>
  <c r="H6" i="1"/>
  <c r="I25" i="1"/>
  <c r="G6" i="1"/>
  <c r="G5" i="1"/>
  <c r="D5" i="1"/>
</calcChain>
</file>

<file path=xl/sharedStrings.xml><?xml version="1.0" encoding="utf-8"?>
<sst xmlns="http://schemas.openxmlformats.org/spreadsheetml/2006/main" count="608" uniqueCount="24">
  <si>
    <t>Abiotic - DFOB</t>
  </si>
  <si>
    <t>Abiotic - DFOB + Ferrozine</t>
  </si>
  <si>
    <t>Abiotic - DFOBFe complex + Ferrozine</t>
  </si>
  <si>
    <t>(-Fe)</t>
  </si>
  <si>
    <t>(-Fe, -Ferrozine)</t>
  </si>
  <si>
    <t>(+Fe)</t>
  </si>
  <si>
    <t>(+Fe, -Ferrozine)</t>
  </si>
  <si>
    <t>T-0h</t>
  </si>
  <si>
    <r>
      <t xml:space="preserve">Peak area </t>
    </r>
    <r>
      <rPr>
        <sz val="11"/>
        <color theme="1"/>
        <rFont val="Calibri"/>
        <family val="2"/>
        <scheme val="minor"/>
      </rPr>
      <t>counts*min</t>
    </r>
    <r>
      <rPr>
        <b/>
        <sz val="11"/>
        <color theme="1"/>
        <rFont val="Calibri"/>
        <family val="2"/>
        <scheme val="minor"/>
      </rPr>
      <t xml:space="preserve">  </t>
    </r>
  </si>
  <si>
    <t>T-24h</t>
  </si>
  <si>
    <t>T-72h</t>
  </si>
  <si>
    <t>DFOB</t>
  </si>
  <si>
    <t>DFOB-O</t>
  </si>
  <si>
    <t>DFOB-2O</t>
  </si>
  <si>
    <t>DFOB-3O</t>
  </si>
  <si>
    <t>T-7 days</t>
  </si>
  <si>
    <t>N/A</t>
  </si>
  <si>
    <t>U.N</t>
  </si>
  <si>
    <t>V.v</t>
  </si>
  <si>
    <t>BKM1767</t>
  </si>
  <si>
    <t>RF =</t>
  </si>
  <si>
    <t>DFOBFe conc estimate =</t>
  </si>
  <si>
    <t>ARN1</t>
  </si>
  <si>
    <t>ARN2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</si>
</sst>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0" fontId="2" fillId="0" borderId="0" xfId="0" applyFont="1"/>
    <xf numFmtId="1" fontId="0" fillId="0" borderId="0" xfId="0" applyNumberFormat="1"/>
    <xf numFmtId="1" fontId="1" fillId="0" borderId="0" xfId="0" applyNumberFormat="1" applyFont="1"/>
    <xf numFmtId="1" fontId="3" fillId="0" borderId="0" xfId="0" applyNumberFormat="1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0" fontId="0" fillId="5" borderId="0" xfId="0" applyFill="1"/>
    <xf numFmtId="1" fontId="0" fillId="5" borderId="0" xfId="0" applyNumberFormat="1" applyFill="1"/>
    <xf numFmtId="1" fontId="5" fillId="0" borderId="0" xfId="0" applyNumberFormat="1" applyFont="1"/>
    <xf numFmtId="0" fontId="1" fillId="5" borderId="0" xfId="0" applyFont="1" applyFill="1"/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V.victoriae!$A$3</c:f>
              <c:strCache>
                <c:ptCount val="1"/>
                <c:pt idx="0">
                  <c:v>T-0h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V.victoriae!$B$2:$H$2</c15:sqref>
                  </c15:fullRef>
                </c:ext>
              </c:extLst>
              <c:f>V.victoriae!$C$2:$H$2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V.victoriae!$B$3:$H$3</c15:sqref>
                  </c15:fullRef>
                </c:ext>
              </c:extLst>
              <c:f>V.victoriae!$C$3:$H$3</c:f>
              <c:numCache>
                <c:formatCode>0</c:formatCode>
                <c:ptCount val="6"/>
                <c:pt idx="0">
                  <c:v>3534317.5926999999</c:v>
                </c:pt>
                <c:pt idx="1">
                  <c:v>3534317.5926999999</c:v>
                </c:pt>
                <c:pt idx="2">
                  <c:v>3534317.5926999999</c:v>
                </c:pt>
                <c:pt idx="3">
                  <c:v>3534317.5926999999</c:v>
                </c:pt>
                <c:pt idx="4">
                  <c:v>3534317.5926999999</c:v>
                </c:pt>
                <c:pt idx="5">
                  <c:v>3534317.5926999999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86D0-4898-836F-194E69BE53EE}"/>
            </c:ext>
          </c:extLst>
        </c:ser>
        <c:ser>
          <c:idx val="3"/>
          <c:order val="1"/>
          <c:tx>
            <c:strRef>
              <c:f>V.victoriae!$A$4</c:f>
              <c:strCache>
                <c:ptCount val="1"/>
                <c:pt idx="0">
                  <c:v>T-7 days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V.victoriae!$B$2:$H$2</c15:sqref>
                  </c15:fullRef>
                </c:ext>
              </c:extLst>
              <c:f>V.victoriae!$C$2:$H$2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V.victoriae!$B$4:$H$4</c15:sqref>
                  </c15:fullRef>
                </c:ext>
              </c:extLst>
              <c:f>V.victoriae!$C$4:$H$4</c:f>
              <c:numCache>
                <c:formatCode>0</c:formatCode>
                <c:ptCount val="6"/>
                <c:pt idx="0">
                  <c:v>3534317.5926999999</c:v>
                </c:pt>
                <c:pt idx="1">
                  <c:v>3534317.5926999999</c:v>
                </c:pt>
                <c:pt idx="2">
                  <c:v>3534317.5926999999</c:v>
                </c:pt>
                <c:pt idx="3">
                  <c:v>3494316.5126999998</c:v>
                </c:pt>
                <c:pt idx="4">
                  <c:v>3534317.5926999999</c:v>
                </c:pt>
                <c:pt idx="5">
                  <c:v>3503312.5299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86D0-4898-836F-194E69BE5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8723967"/>
        <c:axId val="998724927"/>
        <c:extLst>
          <c:ext xmlns:c15="http://schemas.microsoft.com/office/drawing/2012/chart" uri="{02D57815-91ED-43cb-92C2-25804820EDAC}">
            <c15:filteredBar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V.victoriae!$A$8</c15:sqref>
                        </c15:formulaRef>
                      </c:ext>
                    </c:extLst>
                    <c:strCache>
                      <c:ptCount val="1"/>
                      <c:pt idx="0">
                        <c:v>T-0h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errBars>
                  <c:errBarType val="both"/>
                  <c:errValType val="stdErr"/>
                  <c:noEndCap val="0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strRef>
                    <c:extLst>
                      <c:ext uri="{02D57815-91ED-43cb-92C2-25804820EDAC}">
                        <c15:fullRef>
                          <c15:sqref>V.victoriae!$C$7:$H$7</c15:sqref>
                        </c15:fullRef>
                        <c15:formulaRef>
                          <c15:sqref>V.victoriae!$D$7:$H$7</c15:sqref>
                        </c15:formulaRef>
                      </c:ext>
                    </c:extLst>
                    <c:strCache>
                      <c:ptCount val="5"/>
                      <c:pt idx="0">
                        <c:v>Abiotic - DFOBFe complex + Ferrozine</c:v>
                      </c:pt>
                      <c:pt idx="1">
                        <c:v>(-Fe)</c:v>
                      </c:pt>
                      <c:pt idx="2">
                        <c:v>(-Fe, -Ferrozine)</c:v>
                      </c:pt>
                      <c:pt idx="3">
                        <c:v>(+Fe)</c:v>
                      </c:pt>
                      <c:pt idx="4">
                        <c:v>(+Fe, -Ferrozine)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V.victoriae!$C$8:$H$8</c15:sqref>
                        </c15:fullRef>
                        <c15:formulaRef>
                          <c15:sqref>V.victoriae!$D$8:$H$8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3-86D0-4898-836F-194E69BE53EE}"/>
                  </c:ext>
                </c:extLst>
              </c15:ser>
            </c15:filteredBarSeries>
            <c15:filteredBa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V.victoriae!$A$9</c15:sqref>
                        </c15:formulaRef>
                      </c:ext>
                    </c:extLst>
                    <c:strCache>
                      <c:ptCount val="1"/>
                      <c:pt idx="0">
                        <c:v>T-7 days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errBars>
                  <c:errBarType val="both"/>
                  <c:errValType val="stdErr"/>
                  <c:noEndCap val="0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V.victoriae!$C$7:$H$7</c15:sqref>
                        </c15:fullRef>
                        <c15:formulaRef>
                          <c15:sqref>V.victoriae!$D$7:$H$7</c15:sqref>
                        </c15:formulaRef>
                      </c:ext>
                    </c:extLst>
                    <c:strCache>
                      <c:ptCount val="5"/>
                      <c:pt idx="0">
                        <c:v>Abiotic - DFOBFe complex + Ferrozine</c:v>
                      </c:pt>
                      <c:pt idx="1">
                        <c:v>(-Fe)</c:v>
                      </c:pt>
                      <c:pt idx="2">
                        <c:v>(-Fe, -Ferrozine)</c:v>
                      </c:pt>
                      <c:pt idx="3">
                        <c:v>(+Fe)</c:v>
                      </c:pt>
                      <c:pt idx="4">
                        <c:v>(+Fe, -Ferrozine)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V.victoriae!$C$9:$H$9</c15:sqref>
                        </c15:fullRef>
                        <c15:formulaRef>
                          <c15:sqref>V.victoriae!$D$9:$H$9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13392.771500000001</c:v>
                      </c:pt>
                      <c:pt idx="1">
                        <c:v>22808.252100000002</c:v>
                      </c:pt>
                      <c:pt idx="2" formatCode="0">
                        <c:v>45322.1054</c:v>
                      </c:pt>
                      <c:pt idx="3" formatCode="0">
                        <c:v>220.11</c:v>
                      </c:pt>
                      <c:pt idx="4" formatCode="0">
                        <c:v>22201.417000000001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86D0-4898-836F-194E69BE53EE}"/>
                  </c:ext>
                </c:extLst>
              </c15:ser>
            </c15:filteredBarSeries>
          </c:ext>
        </c:extLst>
      </c:barChart>
      <c:catAx>
        <c:axId val="99872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724927"/>
        <c:crosses val="autoZero"/>
        <c:auto val="1"/>
        <c:lblAlgn val="ctr"/>
        <c:lblOffset val="100"/>
        <c:noMultiLvlLbl val="0"/>
      </c:catAx>
      <c:valAx>
        <c:axId val="998724927"/>
        <c:scaling>
          <c:orientation val="minMax"/>
          <c:min val="15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72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DFOB-O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V.victoriae!$A$8</c:f>
              <c:strCache>
                <c:ptCount val="1"/>
                <c:pt idx="0">
                  <c:v>T-0h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V.victoriae!$B$7:$H$7</c15:sqref>
                  </c15:fullRef>
                </c:ext>
              </c:extLst>
              <c:f>V.victoriae!$C$7:$H$7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V.victoriae!$B$8:$H$8</c15:sqref>
                  </c15:fullRef>
                </c:ext>
              </c:extLst>
              <c:f>V.victoriae!$C$8:$H$8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0-4A2F-A037-3FA3B4C46AC0}"/>
            </c:ext>
          </c:extLst>
        </c:ser>
        <c:ser>
          <c:idx val="1"/>
          <c:order val="1"/>
          <c:tx>
            <c:strRef>
              <c:f>V.victoriae!$A$9</c:f>
              <c:strCache>
                <c:ptCount val="1"/>
                <c:pt idx="0">
                  <c:v>T-7 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V.victoriae!$B$7:$H$7</c15:sqref>
                  </c15:fullRef>
                </c:ext>
              </c:extLst>
              <c:f>V.victoriae!$C$7:$H$7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V.victoriae!$B$9:$H$9</c15:sqref>
                  </c15:fullRef>
                </c:ext>
              </c:extLst>
              <c:f>V.victoriae!$C$9:$H$9</c:f>
              <c:numCache>
                <c:formatCode>General</c:formatCode>
                <c:ptCount val="6"/>
                <c:pt idx="0">
                  <c:v>14072.6723</c:v>
                </c:pt>
                <c:pt idx="1">
                  <c:v>13392.771500000001</c:v>
                </c:pt>
                <c:pt idx="2">
                  <c:v>22808.252100000002</c:v>
                </c:pt>
                <c:pt idx="3" formatCode="0">
                  <c:v>45322.1054</c:v>
                </c:pt>
                <c:pt idx="4" formatCode="0">
                  <c:v>220.11</c:v>
                </c:pt>
                <c:pt idx="5" formatCode="0">
                  <c:v>22201.417000000001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0-4A2F-A037-3FA3B4C46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8723967"/>
        <c:axId val="998724927"/>
      </c:barChart>
      <c:catAx>
        <c:axId val="99872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724927"/>
        <c:crosses val="autoZero"/>
        <c:auto val="1"/>
        <c:lblAlgn val="ctr"/>
        <c:lblOffset val="100"/>
        <c:noMultiLvlLbl val="0"/>
      </c:catAx>
      <c:valAx>
        <c:axId val="998724927"/>
        <c:scaling>
          <c:orientation val="minMax"/>
          <c:min val="15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72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Vishniacozyma victoriae </a:t>
            </a:r>
            <a:r>
              <a:rPr lang="en-US"/>
              <a:t>7</a:t>
            </a:r>
            <a:r>
              <a:rPr lang="en-US" baseline="0"/>
              <a:t>D incubation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extLst>
                <c:ext xmlns:c15="http://schemas.microsoft.com/office/drawing/2012/chart" uri="{02D57815-91ED-43cb-92C2-25804820EDAC}">
                  <c15:fullRef>
                    <c15:sqref>V.victoriae!$B$21:$C$21</c15:sqref>
                  </c15:fullRef>
                  <c15:levelRef>
                    <c15:sqref>V.victoriae!$B$21</c15:sqref>
                  </c15:levelRef>
                </c:ext>
              </c:extLst>
              <c:f>V.victoriae!$B$21</c:f>
              <c:strCache>
                <c:ptCount val="2"/>
                <c:pt idx="0">
                  <c:v>DFOB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V.victoriae!$D$20:$I$20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V.victoriae!$D$21:$I$21</c:f>
              <c:numCache>
                <c:formatCode>0</c:formatCode>
                <c:ptCount val="6"/>
                <c:pt idx="0">
                  <c:v>3534317.5926999999</c:v>
                </c:pt>
                <c:pt idx="1">
                  <c:v>3534317.5926999999</c:v>
                </c:pt>
                <c:pt idx="2">
                  <c:v>3534317.5926999999</c:v>
                </c:pt>
                <c:pt idx="3">
                  <c:v>3494316.5126999998</c:v>
                </c:pt>
                <c:pt idx="4">
                  <c:v>3534317.5926999999</c:v>
                </c:pt>
                <c:pt idx="5">
                  <c:v>3503312.5299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A-485D-93C0-55BC97DE601F}"/>
            </c:ext>
          </c:extLst>
        </c:ser>
        <c:ser>
          <c:idx val="1"/>
          <c:order val="1"/>
          <c:tx>
            <c:strRef>
              <c:extLst>
                <c:ext xmlns:c15="http://schemas.microsoft.com/office/drawing/2012/chart" uri="{02D57815-91ED-43cb-92C2-25804820EDAC}">
                  <c15:fullRef>
                    <c15:sqref>V.victoriae!$B$22:$C$22</c15:sqref>
                  </c15:fullRef>
                  <c15:levelRef>
                    <c15:sqref>V.victoriae!$B$22</c15:sqref>
                  </c15:levelRef>
                </c:ext>
              </c:extLst>
              <c:f>V.victoriae!$B$22</c:f>
              <c:strCache>
                <c:ptCount val="2"/>
                <c:pt idx="0">
                  <c:v>DFOB-O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V.victoriae!$D$20:$I$20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V.victoriae!$D$22:$I$22</c:f>
              <c:numCache>
                <c:formatCode>0</c:formatCode>
                <c:ptCount val="6"/>
                <c:pt idx="0">
                  <c:v>1407</c:v>
                </c:pt>
                <c:pt idx="1">
                  <c:v>1339</c:v>
                </c:pt>
                <c:pt idx="2">
                  <c:v>2280</c:v>
                </c:pt>
                <c:pt idx="3">
                  <c:v>45322.1054</c:v>
                </c:pt>
                <c:pt idx="4">
                  <c:v>220.11</c:v>
                </c:pt>
                <c:pt idx="5" formatCode="General">
                  <c:v>22201.417000000001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BA-485D-93C0-55BC97DE601F}"/>
            </c:ext>
          </c:extLst>
        </c:ser>
        <c:ser>
          <c:idx val="2"/>
          <c:order val="2"/>
          <c:tx>
            <c:strRef>
              <c:extLst>
                <c:ext xmlns:c15="http://schemas.microsoft.com/office/drawing/2012/chart" uri="{02D57815-91ED-43cb-92C2-25804820EDAC}">
                  <c15:fullRef>
                    <c15:sqref>V.victoriae!$B$23:$C$23</c15:sqref>
                  </c15:fullRef>
                  <c15:levelRef>
                    <c15:sqref>V.victoriae!$B$23</c15:sqref>
                  </c15:levelRef>
                </c:ext>
              </c:extLst>
              <c:f>V.victoriae!$B$23</c:f>
              <c:strCache>
                <c:ptCount val="2"/>
                <c:pt idx="0">
                  <c:v>DFOB-2O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V.victoriae!$D$20:$I$20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V.victoriae!$D$23:$I$23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BA-485D-93C0-55BC97DE601F}"/>
            </c:ext>
          </c:extLst>
        </c:ser>
        <c:ser>
          <c:idx val="3"/>
          <c:order val="3"/>
          <c:tx>
            <c:strRef>
              <c:extLst>
                <c:ext xmlns:c15="http://schemas.microsoft.com/office/drawing/2012/chart" uri="{02D57815-91ED-43cb-92C2-25804820EDAC}">
                  <c15:fullRef>
                    <c15:sqref>V.victoriae!$B$24:$C$24</c15:sqref>
                  </c15:fullRef>
                  <c15:levelRef>
                    <c15:sqref>V.victoriae!$B$24</c15:sqref>
                  </c15:levelRef>
                </c:ext>
              </c:extLst>
              <c:f>V.victoriae!$B$24</c:f>
              <c:strCache>
                <c:ptCount val="2"/>
                <c:pt idx="0">
                  <c:v>DFOB-3O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V.victoriae!$D$20:$I$20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V.victoriae!$D$24:$I$24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BA-485D-93C0-55BC97DE6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799039"/>
        <c:axId val="1573798079"/>
      </c:barChart>
      <c:catAx>
        <c:axId val="157379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798079"/>
        <c:crosses val="autoZero"/>
        <c:auto val="1"/>
        <c:lblAlgn val="ctr"/>
        <c:lblOffset val="100"/>
        <c:noMultiLvlLbl val="0"/>
      </c:catAx>
      <c:valAx>
        <c:axId val="1573798079"/>
        <c:scaling>
          <c:orientation val="minMax"/>
          <c:min val="1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LC-MS Signal (Peak</a:t>
                </a:r>
                <a:r>
                  <a:rPr lang="en-US" baseline="0"/>
                  <a:t> area)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79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Ustilago Nunavutica</a:t>
            </a:r>
            <a:r>
              <a:rPr lang="en-US" baseline="0"/>
              <a:t> 7 days incubation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66509186351707"/>
          <c:y val="0.10100723953415174"/>
          <c:w val="0.8495730033745782"/>
          <c:h val="0.684650897721450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extLst>
                <c:ext xmlns:c15="http://schemas.microsoft.com/office/drawing/2012/chart" uri="{02D57815-91ED-43cb-92C2-25804820EDAC}">
                  <c15:fullRef>
                    <c15:sqref>'Ustilago N.'!$B$32:$C$32</c15:sqref>
                  </c15:fullRef>
                  <c15:levelRef>
                    <c15:sqref>'Ustilago N.'!$B$32</c15:sqref>
                  </c15:levelRef>
                </c:ext>
              </c:extLst>
              <c:f>'Ustilago N.'!$B$32</c:f>
              <c:strCache>
                <c:ptCount val="2"/>
                <c:pt idx="0">
                  <c:v>DFOB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'Ustilago N.'!$D$31:$I$31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'Ustilago N.'!$D$32:$I$32</c:f>
              <c:numCache>
                <c:formatCode>0</c:formatCode>
                <c:ptCount val="6"/>
                <c:pt idx="0">
                  <c:v>1876040.8439</c:v>
                </c:pt>
                <c:pt idx="1">
                  <c:v>1876040.8439</c:v>
                </c:pt>
                <c:pt idx="2">
                  <c:v>1876040.8439</c:v>
                </c:pt>
                <c:pt idx="3">
                  <c:v>1876040.8439</c:v>
                </c:pt>
                <c:pt idx="4">
                  <c:v>1876040.8439</c:v>
                </c:pt>
                <c:pt idx="5">
                  <c:v>1876040.8439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2-4465-8A86-C3C63EEEC977}"/>
            </c:ext>
          </c:extLst>
        </c:ser>
        <c:ser>
          <c:idx val="1"/>
          <c:order val="1"/>
          <c:tx>
            <c:strRef>
              <c:extLst>
                <c:ext xmlns:c15="http://schemas.microsoft.com/office/drawing/2012/chart" uri="{02D57815-91ED-43cb-92C2-25804820EDAC}">
                  <c15:fullRef>
                    <c15:sqref>'Ustilago N.'!$B$33:$C$33</c15:sqref>
                  </c15:fullRef>
                  <c15:levelRef>
                    <c15:sqref>'Ustilago N.'!$B$33</c15:sqref>
                  </c15:levelRef>
                </c:ext>
              </c:extLst>
              <c:f>'Ustilago N.'!$B$33</c:f>
              <c:strCache>
                <c:ptCount val="2"/>
                <c:pt idx="0">
                  <c:v>DFOB-O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'Ustilago N.'!$D$31:$I$31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'Ustilago N.'!$D$33:$I$33</c:f>
              <c:numCache>
                <c:formatCode>General</c:formatCode>
                <c:ptCount val="6"/>
                <c:pt idx="0">
                  <c:v>12</c:v>
                </c:pt>
                <c:pt idx="1">
                  <c:v>6</c:v>
                </c:pt>
                <c:pt idx="2">
                  <c:v>101</c:v>
                </c:pt>
                <c:pt idx="3">
                  <c:v>103121.36500000001</c:v>
                </c:pt>
                <c:pt idx="4">
                  <c:v>0</c:v>
                </c:pt>
                <c:pt idx="5">
                  <c:v>40849.378900000003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C2-4465-8A86-C3C63EEEC977}"/>
            </c:ext>
          </c:extLst>
        </c:ser>
        <c:ser>
          <c:idx val="2"/>
          <c:order val="2"/>
          <c:tx>
            <c:strRef>
              <c:extLst>
                <c:ext xmlns:c15="http://schemas.microsoft.com/office/drawing/2012/chart" uri="{02D57815-91ED-43cb-92C2-25804820EDAC}">
                  <c15:fullRef>
                    <c15:sqref>'Ustilago N.'!$B$34:$C$34</c15:sqref>
                  </c15:fullRef>
                  <c15:levelRef>
                    <c15:sqref>'Ustilago N.'!$B$34</c15:sqref>
                  </c15:levelRef>
                </c:ext>
              </c:extLst>
              <c:f>'Ustilago N.'!$B$34</c:f>
              <c:strCache>
                <c:ptCount val="2"/>
                <c:pt idx="0">
                  <c:v>DFOB-2O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'Ustilago N.'!$D$31:$I$31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'Ustilago N.'!$D$34:$I$34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C2-4465-8A86-C3C63EEEC977}"/>
            </c:ext>
          </c:extLst>
        </c:ser>
        <c:ser>
          <c:idx val="3"/>
          <c:order val="3"/>
          <c:tx>
            <c:strRef>
              <c:extLst>
                <c:ext xmlns:c15="http://schemas.microsoft.com/office/drawing/2012/chart" uri="{02D57815-91ED-43cb-92C2-25804820EDAC}">
                  <c15:fullRef>
                    <c15:sqref>'Ustilago N.'!$B$35:$C$35</c15:sqref>
                  </c15:fullRef>
                  <c15:levelRef>
                    <c15:sqref>'Ustilago N.'!$B$35</c15:sqref>
                  </c15:levelRef>
                </c:ext>
              </c:extLst>
              <c:f>'Ustilago N.'!$B$35</c:f>
              <c:strCache>
                <c:ptCount val="2"/>
                <c:pt idx="0">
                  <c:v>DFOB-3O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'Ustilago N.'!$D$31:$I$31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'Ustilago N.'!$D$35:$I$35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166.26560000000001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C2-4465-8A86-C3C63EEEC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599487"/>
        <c:axId val="321597087"/>
      </c:barChart>
      <c:catAx>
        <c:axId val="32159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97087"/>
        <c:crosses val="autoZero"/>
        <c:auto val="1"/>
        <c:lblAlgn val="ctr"/>
        <c:lblOffset val="100"/>
        <c:noMultiLvlLbl val="0"/>
      </c:catAx>
      <c:valAx>
        <c:axId val="32159708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LC-MS Signal (Peak areas)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9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A. Flavus 201</a:t>
            </a:r>
          </a:p>
        </c:rich>
      </c:tx>
      <c:layout>
        <c:manualLayout>
          <c:xMode val="edge"/>
          <c:yMode val="edge"/>
          <c:x val="0.455156468314595"/>
          <c:y val="2.58397932816537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83535080502996"/>
          <c:y val="0.12527993109388461"/>
          <c:w val="0.83628902730442278"/>
          <c:h val="0.629610099642522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extLst>
                <c:ext xmlns:c15="http://schemas.microsoft.com/office/drawing/2012/chart" uri="{02D57815-91ED-43cb-92C2-25804820EDAC}">
                  <c15:fullRef>
                    <c15:sqref>'A. Flavus'!$B$26:$C$26</c15:sqref>
                  </c15:fullRef>
                  <c15:levelRef>
                    <c15:sqref>'A. Flavus'!$B$26</c15:sqref>
                  </c15:levelRef>
                </c:ext>
              </c:extLst>
              <c:f>'A. Flavus'!$B$26</c:f>
              <c:strCache>
                <c:ptCount val="2"/>
                <c:pt idx="0">
                  <c:v>DFOB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'A. Flavus'!$D$25:$I$25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'A. Flavus'!$D$26:$I$26</c:f>
              <c:numCache>
                <c:formatCode>0</c:formatCode>
                <c:ptCount val="6"/>
                <c:pt idx="0">
                  <c:v>3430750.1885000002</c:v>
                </c:pt>
                <c:pt idx="1">
                  <c:v>3430730.1885000002</c:v>
                </c:pt>
                <c:pt idx="2">
                  <c:v>3433051.0965</c:v>
                </c:pt>
                <c:pt idx="3">
                  <c:v>3436000.3223999999</c:v>
                </c:pt>
                <c:pt idx="4">
                  <c:v>3430246.7122</c:v>
                </c:pt>
                <c:pt idx="5">
                  <c:v>3438249.0913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3-49D5-BFC6-D0291E0367E6}"/>
            </c:ext>
          </c:extLst>
        </c:ser>
        <c:ser>
          <c:idx val="1"/>
          <c:order val="1"/>
          <c:tx>
            <c:strRef>
              <c:extLst>
                <c:ext xmlns:c15="http://schemas.microsoft.com/office/drawing/2012/chart" uri="{02D57815-91ED-43cb-92C2-25804820EDAC}">
                  <c15:fullRef>
                    <c15:sqref>'A. Flavus'!$B$27:$C$27</c15:sqref>
                  </c15:fullRef>
                  <c15:levelRef>
                    <c15:sqref>'A. Flavus'!$B$27</c15:sqref>
                  </c15:levelRef>
                </c:ext>
              </c:extLst>
              <c:f>'A. Flavus'!$B$27</c:f>
              <c:strCache>
                <c:ptCount val="2"/>
                <c:pt idx="0">
                  <c:v>DFOB-O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'A. Flavus'!$D$25:$I$25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'A. Flavus'!$D$27:$I$27</c:f>
              <c:numCache>
                <c:formatCode>0</c:formatCode>
                <c:ptCount val="6"/>
                <c:pt idx="0">
                  <c:v>208</c:v>
                </c:pt>
                <c:pt idx="1">
                  <c:v>211</c:v>
                </c:pt>
                <c:pt idx="2">
                  <c:v>271</c:v>
                </c:pt>
                <c:pt idx="3">
                  <c:v>57173.661</c:v>
                </c:pt>
                <c:pt idx="4">
                  <c:v>216</c:v>
                </c:pt>
                <c:pt idx="5">
                  <c:v>22331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3-49D5-BFC6-D0291E0367E6}"/>
            </c:ext>
          </c:extLst>
        </c:ser>
        <c:ser>
          <c:idx val="2"/>
          <c:order val="2"/>
          <c:tx>
            <c:strRef>
              <c:extLst>
                <c:ext xmlns:c15="http://schemas.microsoft.com/office/drawing/2012/chart" uri="{02D57815-91ED-43cb-92C2-25804820EDAC}">
                  <c15:fullRef>
                    <c15:sqref>'A. Flavus'!$B$28:$C$28</c15:sqref>
                  </c15:fullRef>
                  <c15:levelRef>
                    <c15:sqref>'A. Flavus'!$B$28</c15:sqref>
                  </c15:levelRef>
                </c:ext>
              </c:extLst>
              <c:f>'A. Flavus'!$B$28</c:f>
              <c:strCache>
                <c:ptCount val="2"/>
                <c:pt idx="0">
                  <c:v>DFOB-2O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'A. Flavus'!$D$25:$I$25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'A. Flavus'!$D$28:$I$28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3-49D5-BFC6-D0291E0367E6}"/>
            </c:ext>
          </c:extLst>
        </c:ser>
        <c:ser>
          <c:idx val="3"/>
          <c:order val="3"/>
          <c:tx>
            <c:strRef>
              <c:extLst>
                <c:ext xmlns:c15="http://schemas.microsoft.com/office/drawing/2012/chart" uri="{02D57815-91ED-43cb-92C2-25804820EDAC}">
                  <c15:fullRef>
                    <c15:sqref>'A. Flavus'!$B$29:$C$29</c15:sqref>
                  </c15:fullRef>
                  <c15:levelRef>
                    <c15:sqref>'A. Flavus'!$B$29</c15:sqref>
                  </c15:levelRef>
                </c:ext>
              </c:extLst>
              <c:f>'A. Flavus'!$B$29</c:f>
              <c:strCache>
                <c:ptCount val="2"/>
                <c:pt idx="0">
                  <c:v>DFOB-3O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'A. Flavus'!$D$25:$I$25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'A. Flavus'!$D$29:$I$29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43-49D5-BFC6-D0291E036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3157263"/>
        <c:axId val="1185060687"/>
      </c:barChart>
      <c:catAx>
        <c:axId val="107315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60687"/>
        <c:crosses val="autoZero"/>
        <c:auto val="1"/>
        <c:lblAlgn val="ctr"/>
        <c:lblOffset val="100"/>
        <c:noMultiLvlLbl val="0"/>
      </c:catAx>
      <c:valAx>
        <c:axId val="1185060687"/>
        <c:scaling>
          <c:orientation val="minMax"/>
          <c:max val="3701000"/>
          <c:min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LC-MS Signal </a:t>
                </a:r>
                <a:r>
                  <a:rPr lang="en-US" baseline="0"/>
                  <a:t> </a:t>
                </a:r>
                <a:r>
                  <a:rPr lang="en-US"/>
                  <a:t>(Peak area)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15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A. Flavus 278</a:t>
            </a:r>
          </a:p>
        </c:rich>
      </c:tx>
      <c:layout>
        <c:manualLayout>
          <c:xMode val="edge"/>
          <c:yMode val="edge"/>
          <c:x val="0.43082978598263455"/>
          <c:y val="2.23964165733482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03719388017675"/>
          <c:y val="0.13844718178424786"/>
          <c:w val="0.82628586867817988"/>
          <c:h val="0.585223949469922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extLst>
                <c:ext xmlns:c15="http://schemas.microsoft.com/office/drawing/2012/chart" uri="{02D57815-91ED-43cb-92C2-25804820EDAC}">
                  <c15:fullRef>
                    <c15:sqref>'A. Flavus'!$M$26:$N$26</c15:sqref>
                  </c15:fullRef>
                  <c15:levelRef>
                    <c15:sqref>'A. Flavus'!$M$26</c15:sqref>
                  </c15:levelRef>
                </c:ext>
              </c:extLst>
              <c:f>'A. Flavus'!$M$26</c:f>
              <c:strCache>
                <c:ptCount val="2"/>
                <c:pt idx="0">
                  <c:v>DFOB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'A. Flavus'!$O$25:$T$25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'A. Flavus'!$O$26:$T$26</c:f>
              <c:numCache>
                <c:formatCode>0</c:formatCode>
                <c:ptCount val="6"/>
                <c:pt idx="0">
                  <c:v>3430750.1885000002</c:v>
                </c:pt>
                <c:pt idx="1">
                  <c:v>3430730.1885000002</c:v>
                </c:pt>
                <c:pt idx="2">
                  <c:v>3433051.0965</c:v>
                </c:pt>
                <c:pt idx="3">
                  <c:v>3436000.3223999999</c:v>
                </c:pt>
                <c:pt idx="4">
                  <c:v>3430246.7122</c:v>
                </c:pt>
                <c:pt idx="5">
                  <c:v>3438249.0913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2-4A9B-977F-57E5B14DAC59}"/>
            </c:ext>
          </c:extLst>
        </c:ser>
        <c:ser>
          <c:idx val="1"/>
          <c:order val="1"/>
          <c:tx>
            <c:strRef>
              <c:extLst>
                <c:ext xmlns:c15="http://schemas.microsoft.com/office/drawing/2012/chart" uri="{02D57815-91ED-43cb-92C2-25804820EDAC}">
                  <c15:fullRef>
                    <c15:sqref>'A. Flavus'!$M$27:$N$27</c15:sqref>
                  </c15:fullRef>
                  <c15:levelRef>
                    <c15:sqref>'A. Flavus'!$M$27</c15:sqref>
                  </c15:levelRef>
                </c:ext>
              </c:extLst>
              <c:f>'A. Flavus'!$M$27</c:f>
              <c:strCache>
                <c:ptCount val="2"/>
                <c:pt idx="0">
                  <c:v>DFOB-O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'A. Flavus'!$O$25:$T$25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'A. Flavus'!$O$27:$T$27</c:f>
              <c:numCache>
                <c:formatCode>0</c:formatCode>
                <c:ptCount val="6"/>
                <c:pt idx="0">
                  <c:v>208</c:v>
                </c:pt>
                <c:pt idx="1">
                  <c:v>211</c:v>
                </c:pt>
                <c:pt idx="2" formatCode="General">
                  <c:v>228</c:v>
                </c:pt>
                <c:pt idx="3" formatCode="General">
                  <c:v>48178.968699999998</c:v>
                </c:pt>
                <c:pt idx="4" formatCode="General">
                  <c:v>220</c:v>
                </c:pt>
                <c:pt idx="5" formatCode="General">
                  <c:v>44586.097699999998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2-4A9B-977F-57E5B14DAC59}"/>
            </c:ext>
          </c:extLst>
        </c:ser>
        <c:ser>
          <c:idx val="2"/>
          <c:order val="2"/>
          <c:tx>
            <c:strRef>
              <c:extLst>
                <c:ext xmlns:c15="http://schemas.microsoft.com/office/drawing/2012/chart" uri="{02D57815-91ED-43cb-92C2-25804820EDAC}">
                  <c15:fullRef>
                    <c15:sqref>'A. Flavus'!$M$28:$N$28</c15:sqref>
                  </c15:fullRef>
                  <c15:levelRef>
                    <c15:sqref>'A. Flavus'!$M$28</c15:sqref>
                  </c15:levelRef>
                </c:ext>
              </c:extLst>
              <c:f>'A. Flavus'!$M$28</c:f>
              <c:strCache>
                <c:ptCount val="2"/>
                <c:pt idx="0">
                  <c:v>DFOB-2O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'A. Flavus'!$O$25:$T$25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'A. Flavus'!$O$28:$T$28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224.87889999999999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D2-4A9B-977F-57E5B14DAC59}"/>
            </c:ext>
          </c:extLst>
        </c:ser>
        <c:ser>
          <c:idx val="3"/>
          <c:order val="3"/>
          <c:tx>
            <c:strRef>
              <c:extLst>
                <c:ext xmlns:c15="http://schemas.microsoft.com/office/drawing/2012/chart" uri="{02D57815-91ED-43cb-92C2-25804820EDAC}">
                  <c15:fullRef>
                    <c15:sqref>'A. Flavus'!$M$29:$N$29</c15:sqref>
                  </c15:fullRef>
                  <c15:levelRef>
                    <c15:sqref>'A. Flavus'!$M$29</c15:sqref>
                  </c15:levelRef>
                </c:ext>
              </c:extLst>
              <c:f>'A. Flavus'!$M$29</c:f>
              <c:strCache>
                <c:ptCount val="2"/>
                <c:pt idx="0">
                  <c:v>DFOB-3O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'A. Flavus'!$O$25:$T$25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'A. Flavus'!$O$29:$T$29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D2-4A9B-977F-57E5B14DA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4291103"/>
        <c:axId val="1517467167"/>
      </c:barChart>
      <c:catAx>
        <c:axId val="151429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467167"/>
        <c:crosses val="autoZero"/>
        <c:auto val="1"/>
        <c:lblAlgn val="ctr"/>
        <c:lblOffset val="100"/>
        <c:noMultiLvlLbl val="0"/>
      </c:catAx>
      <c:valAx>
        <c:axId val="1517467167"/>
        <c:scaling>
          <c:orientation val="minMax"/>
          <c:min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LC-MS Signal (Peak area)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9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DFOB</a:t>
            </a:r>
          </a:p>
        </c:rich>
      </c:tx>
      <c:layout>
        <c:manualLayout>
          <c:xMode val="edge"/>
          <c:yMode val="edge"/>
          <c:x val="0.48843696518133251"/>
          <c:y val="2.32828870779976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25255506428033"/>
          <c:y val="0.11288319751649206"/>
          <c:w val="0.86381628039069369"/>
          <c:h val="0.611492029736096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'Sporobolomyces ruberrimus'!$B$2</c:f>
              <c:strCache>
                <c:ptCount val="1"/>
                <c:pt idx="0">
                  <c:v>T-0h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'Sporobolomyces ruberrimus'!$C$1:$I$1</c15:sqref>
                  </c15:fullRef>
                </c:ext>
              </c:extLst>
              <c:f>'Sporobolomyces ruberrimus'!$D$1:$I$1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'Sporobolomyces ruberrimus'!$C$2:$I$2</c15:sqref>
                  </c15:fullRef>
                </c:ext>
              </c:extLst>
              <c:f>'Sporobolomyces ruberrimus'!$D$2:$I$2</c:f>
              <c:numCache>
                <c:formatCode>0</c:formatCode>
                <c:ptCount val="6"/>
                <c:pt idx="0">
                  <c:v>2876040.8439000002</c:v>
                </c:pt>
                <c:pt idx="1">
                  <c:v>2876040.8439000002</c:v>
                </c:pt>
                <c:pt idx="2">
                  <c:v>2876040.8439000002</c:v>
                </c:pt>
                <c:pt idx="3">
                  <c:v>2876040.8439000002</c:v>
                </c:pt>
                <c:pt idx="4">
                  <c:v>2876040.8439000002</c:v>
                </c:pt>
                <c:pt idx="5">
                  <c:v>2876040.8439000002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A-4D41-836F-C72178EBB068}"/>
            </c:ext>
          </c:extLst>
        </c:ser>
        <c:ser>
          <c:idx val="1"/>
          <c:order val="1"/>
          <c:tx>
            <c:strRef>
              <c:f>'Sporobolomyces ruberrimus'!$B$3</c:f>
              <c:strCache>
                <c:ptCount val="1"/>
                <c:pt idx="0">
                  <c:v>T-24h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'Sporobolomyces ruberrimus'!$C$1:$I$1</c15:sqref>
                  </c15:fullRef>
                </c:ext>
              </c:extLst>
              <c:f>'Sporobolomyces ruberrimus'!$D$1:$I$1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'Sporobolomyces ruberrimus'!$C$3:$I$3</c15:sqref>
                  </c15:fullRef>
                </c:ext>
              </c:extLst>
              <c:f>'Sporobolomyces ruberrimus'!$D$3:$I$3</c:f>
              <c:numCache>
                <c:formatCode>0</c:formatCode>
                <c:ptCount val="6"/>
                <c:pt idx="0">
                  <c:v>2876040.8439000002</c:v>
                </c:pt>
                <c:pt idx="1">
                  <c:v>2876040.8439000002</c:v>
                </c:pt>
                <c:pt idx="2">
                  <c:v>2876040.8439000002</c:v>
                </c:pt>
                <c:pt idx="3">
                  <c:v>2876040.8139</c:v>
                </c:pt>
                <c:pt idx="4">
                  <c:v>2876040.8439000002</c:v>
                </c:pt>
                <c:pt idx="5">
                  <c:v>2876040.8439000002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A-4D41-836F-C72178EBB068}"/>
            </c:ext>
          </c:extLst>
        </c:ser>
        <c:ser>
          <c:idx val="2"/>
          <c:order val="2"/>
          <c:tx>
            <c:strRef>
              <c:f>'Sporobolomyces ruberrimus'!$B$4</c:f>
              <c:strCache>
                <c:ptCount val="1"/>
                <c:pt idx="0">
                  <c:v>T-72h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'Sporobolomyces ruberrimus'!$C$1:$I$1</c15:sqref>
                  </c15:fullRef>
                </c:ext>
              </c:extLst>
              <c:f>'Sporobolomyces ruberrimus'!$D$1:$I$1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'Sporobolomyces ruberrimus'!$C$4:$I$4</c15:sqref>
                  </c15:fullRef>
                </c:ext>
              </c:extLst>
              <c:f>'Sporobolomyces ruberrimus'!$D$4:$I$4</c:f>
              <c:numCache>
                <c:formatCode>0</c:formatCode>
                <c:ptCount val="6"/>
                <c:pt idx="0">
                  <c:v>2876040.8439000002</c:v>
                </c:pt>
                <c:pt idx="1">
                  <c:v>2876040.8439000002</c:v>
                </c:pt>
                <c:pt idx="2">
                  <c:v>2876040.8439000002</c:v>
                </c:pt>
                <c:pt idx="3">
                  <c:v>2786020.8439000002</c:v>
                </c:pt>
                <c:pt idx="4">
                  <c:v>2876040.8439000002</c:v>
                </c:pt>
                <c:pt idx="5">
                  <c:v>2806020.8439000002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7A-4D41-836F-C72178EBB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4655519"/>
        <c:axId val="1074656959"/>
      </c:barChart>
      <c:catAx>
        <c:axId val="107465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656959"/>
        <c:crosses val="autoZero"/>
        <c:auto val="1"/>
        <c:lblAlgn val="ctr"/>
        <c:lblOffset val="100"/>
        <c:noMultiLvlLbl val="0"/>
      </c:catAx>
      <c:valAx>
        <c:axId val="1074656959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65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S. ruberrimus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3562068511325"/>
          <c:y val="0.12404096440424286"/>
          <c:w val="0.75848601085207068"/>
          <c:h val="0.735742407199100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extLst>
                <c:ext xmlns:c15="http://schemas.microsoft.com/office/drawing/2012/chart" uri="{02D57815-91ED-43cb-92C2-25804820EDAC}">
                  <c15:fullRef>
                    <c15:sqref>'Sporobolomyces ruberrimus'!$K$2:$L$2</c15:sqref>
                  </c15:fullRef>
                  <c15:levelRef>
                    <c15:sqref>'Sporobolomyces ruberrimus'!$K$2</c15:sqref>
                  </c15:levelRef>
                </c:ext>
              </c:extLst>
              <c:f>'Sporobolomyces ruberrimus'!$K$2</c:f>
              <c:strCache>
                <c:ptCount val="2"/>
                <c:pt idx="0">
                  <c:v>DFOB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'Sporobolomyces ruberrimus'!$M$1:$R$1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'Sporobolomyces ruberrimus'!$M$2:$R$2</c:f>
              <c:numCache>
                <c:formatCode>0</c:formatCode>
                <c:ptCount val="6"/>
                <c:pt idx="0">
                  <c:v>1876040.8439</c:v>
                </c:pt>
                <c:pt idx="1">
                  <c:v>1876040.8439</c:v>
                </c:pt>
                <c:pt idx="2">
                  <c:v>1876040.8439</c:v>
                </c:pt>
                <c:pt idx="3">
                  <c:v>1876040.8439</c:v>
                </c:pt>
                <c:pt idx="4">
                  <c:v>1876040.8439</c:v>
                </c:pt>
                <c:pt idx="5">
                  <c:v>1876040.8439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9-41EB-A1ED-1BE49B24FD4A}"/>
            </c:ext>
          </c:extLst>
        </c:ser>
        <c:ser>
          <c:idx val="1"/>
          <c:order val="1"/>
          <c:tx>
            <c:strRef>
              <c:extLst>
                <c:ext xmlns:c15="http://schemas.microsoft.com/office/drawing/2012/chart" uri="{02D57815-91ED-43cb-92C2-25804820EDAC}">
                  <c15:fullRef>
                    <c15:sqref>'Sporobolomyces ruberrimus'!$K$3:$L$3</c15:sqref>
                  </c15:fullRef>
                  <c15:levelRef>
                    <c15:sqref>'Sporobolomyces ruberrimus'!$K$3</c15:sqref>
                  </c15:levelRef>
                </c:ext>
              </c:extLst>
              <c:f>'Sporobolomyces ruberrimus'!$K$3</c:f>
              <c:strCache>
                <c:ptCount val="2"/>
                <c:pt idx="0">
                  <c:v>DFOB-O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'Sporobolomyces ruberrimus'!$M$1:$R$1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'Sporobolomyces ruberrimus'!$M$3:$R$3</c:f>
              <c:numCache>
                <c:formatCode>0</c:formatCode>
                <c:ptCount val="6"/>
                <c:pt idx="0">
                  <c:v>13</c:v>
                </c:pt>
                <c:pt idx="1">
                  <c:v>12</c:v>
                </c:pt>
                <c:pt idx="2">
                  <c:v>1269</c:v>
                </c:pt>
                <c:pt idx="3">
                  <c:v>44722.579899999997</c:v>
                </c:pt>
                <c:pt idx="4">
                  <c:v>1420</c:v>
                </c:pt>
                <c:pt idx="5">
                  <c:v>40121.872300000003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9-41EB-A1ED-1BE49B24FD4A}"/>
            </c:ext>
          </c:extLst>
        </c:ser>
        <c:ser>
          <c:idx val="2"/>
          <c:order val="2"/>
          <c:tx>
            <c:strRef>
              <c:extLst>
                <c:ext xmlns:c15="http://schemas.microsoft.com/office/drawing/2012/chart" uri="{02D57815-91ED-43cb-92C2-25804820EDAC}">
                  <c15:fullRef>
                    <c15:sqref>'Sporobolomyces ruberrimus'!$K$4:$L$4</c15:sqref>
                  </c15:fullRef>
                  <c15:levelRef>
                    <c15:sqref>'Sporobolomyces ruberrimus'!$K$4</c15:sqref>
                  </c15:levelRef>
                </c:ext>
              </c:extLst>
              <c:f>'Sporobolomyces ruberrimus'!$K$4</c:f>
              <c:strCache>
                <c:ptCount val="2"/>
                <c:pt idx="0">
                  <c:v>DFOB-2O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'Sporobolomyces ruberrimus'!$M$1:$R$1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'Sporobolomyces ruberrimus'!$M$4:$R$4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29-41EB-A1ED-1BE49B24FD4A}"/>
            </c:ext>
          </c:extLst>
        </c:ser>
        <c:ser>
          <c:idx val="3"/>
          <c:order val="3"/>
          <c:tx>
            <c:strRef>
              <c:extLst>
                <c:ext xmlns:c15="http://schemas.microsoft.com/office/drawing/2012/chart" uri="{02D57815-91ED-43cb-92C2-25804820EDAC}">
                  <c15:fullRef>
                    <c15:sqref>'Sporobolomyces ruberrimus'!$K$5:$L$5</c15:sqref>
                  </c15:fullRef>
                  <c15:levelRef>
                    <c15:sqref>'Sporobolomyces ruberrimus'!$K$5</c15:sqref>
                  </c15:levelRef>
                </c:ext>
              </c:extLst>
              <c:f>'Sporobolomyces ruberrimus'!$K$5</c:f>
              <c:strCache>
                <c:ptCount val="2"/>
                <c:pt idx="0">
                  <c:v>DFOB-3O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'Sporobolomyces ruberrimus'!$M$1:$R$1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'Sporobolomyces ruberrimus'!$M$5:$R$5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29-41EB-A1ED-1BE49B24F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65471"/>
        <c:axId val="134676031"/>
      </c:barChart>
      <c:catAx>
        <c:axId val="13466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76031"/>
        <c:crosses val="autoZero"/>
        <c:auto val="1"/>
        <c:lblAlgn val="ctr"/>
        <c:lblOffset val="100"/>
        <c:noMultiLvlLbl val="0"/>
      </c:catAx>
      <c:valAx>
        <c:axId val="134676031"/>
        <c:scaling>
          <c:orientation val="minMax"/>
          <c:min val="1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LC-MS signal (Peak area)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6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BKM1767 7D Incubation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extLst>
                <c:ext xmlns:c15="http://schemas.microsoft.com/office/drawing/2012/chart" uri="{02D57815-91ED-43cb-92C2-25804820EDAC}">
                  <c15:fullRef>
                    <c15:sqref>'BKM1767'!$B$21:$C$21</c15:sqref>
                  </c15:fullRef>
                  <c15:levelRef>
                    <c15:sqref>'BKM1767'!$B$21</c15:sqref>
                  </c15:levelRef>
                </c:ext>
              </c:extLst>
              <c:f>'BKM1767'!$B$21</c:f>
              <c:strCache>
                <c:ptCount val="2"/>
                <c:pt idx="0">
                  <c:v>DFOB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'BKM1767'!$D$20:$I$20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'BKM1767'!$D$21:$I$21</c:f>
              <c:numCache>
                <c:formatCode>0</c:formatCode>
                <c:ptCount val="6"/>
                <c:pt idx="0">
                  <c:v>3534317.5926999999</c:v>
                </c:pt>
                <c:pt idx="1">
                  <c:v>3534317.5926999999</c:v>
                </c:pt>
                <c:pt idx="2">
                  <c:v>3534317.5926999999</c:v>
                </c:pt>
                <c:pt idx="3">
                  <c:v>3534316.5126999998</c:v>
                </c:pt>
                <c:pt idx="4">
                  <c:v>3534317.5926999999</c:v>
                </c:pt>
                <c:pt idx="5">
                  <c:v>3533312.5299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2-44E9-B495-4F7C9B51388C}"/>
            </c:ext>
          </c:extLst>
        </c:ser>
        <c:ser>
          <c:idx val="1"/>
          <c:order val="1"/>
          <c:tx>
            <c:strRef>
              <c:extLst>
                <c:ext xmlns:c15="http://schemas.microsoft.com/office/drawing/2012/chart" uri="{02D57815-91ED-43cb-92C2-25804820EDAC}">
                  <c15:fullRef>
                    <c15:sqref>'BKM1767'!$B$22:$C$22</c15:sqref>
                  </c15:fullRef>
                  <c15:levelRef>
                    <c15:sqref>'BKM1767'!$B$22</c15:sqref>
                  </c15:levelRef>
                </c:ext>
              </c:extLst>
              <c:f>'BKM1767'!$B$22</c:f>
              <c:strCache>
                <c:ptCount val="2"/>
                <c:pt idx="0">
                  <c:v>DFOB-O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'BKM1767'!$D$20:$I$20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'BKM1767'!$D$22:$I$22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32-44E9-B495-4F7C9B51388C}"/>
            </c:ext>
          </c:extLst>
        </c:ser>
        <c:ser>
          <c:idx val="2"/>
          <c:order val="2"/>
          <c:tx>
            <c:strRef>
              <c:extLst>
                <c:ext xmlns:c15="http://schemas.microsoft.com/office/drawing/2012/chart" uri="{02D57815-91ED-43cb-92C2-25804820EDAC}">
                  <c15:fullRef>
                    <c15:sqref>'BKM1767'!$B$23:$C$23</c15:sqref>
                  </c15:fullRef>
                  <c15:levelRef>
                    <c15:sqref>'BKM1767'!$B$23</c15:sqref>
                  </c15:levelRef>
                </c:ext>
              </c:extLst>
              <c:f>'BKM1767'!$B$23</c:f>
              <c:strCache>
                <c:ptCount val="2"/>
                <c:pt idx="0">
                  <c:v>DFOB-2O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'BKM1767'!$D$20:$I$20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'BKM1767'!$D$23:$I$23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32-44E9-B495-4F7C9B51388C}"/>
            </c:ext>
          </c:extLst>
        </c:ser>
        <c:ser>
          <c:idx val="3"/>
          <c:order val="3"/>
          <c:tx>
            <c:strRef>
              <c:extLst>
                <c:ext xmlns:c15="http://schemas.microsoft.com/office/drawing/2012/chart" uri="{02D57815-91ED-43cb-92C2-25804820EDAC}">
                  <c15:fullRef>
                    <c15:sqref>'BKM1767'!$B$24:$C$24</c15:sqref>
                  </c15:fullRef>
                  <c15:levelRef>
                    <c15:sqref>'BKM1767'!$B$24</c15:sqref>
                  </c15:levelRef>
                </c:ext>
              </c:extLst>
              <c:f>'BKM1767'!$B$24</c:f>
              <c:strCache>
                <c:ptCount val="2"/>
                <c:pt idx="0">
                  <c:v>DFOB-3O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'BKM1767'!$D$20:$I$20</c:f>
              <c:strCache>
                <c:ptCount val="6"/>
                <c:pt idx="0">
                  <c:v>Abiotic - DFOB + Ferrozine</c:v>
                </c:pt>
                <c:pt idx="1">
                  <c:v>Abiotic - DFOBFe complex + Ferrozine</c:v>
                </c:pt>
                <c:pt idx="2">
                  <c:v>(-Fe)</c:v>
                </c:pt>
                <c:pt idx="3">
                  <c:v>(-Fe, -Ferrozine)</c:v>
                </c:pt>
                <c:pt idx="4">
                  <c:v>(+Fe)</c:v>
                </c:pt>
                <c:pt idx="5">
                  <c:v>(+Fe, -Ferrozine)</c:v>
                </c:pt>
              </c:strCache>
            </c:strRef>
          </c:cat>
          <c:val>
            <c:numRef>
              <c:f>'BKM1767'!$D$24:$I$24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32-44E9-B495-4F7C9B513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5791231"/>
        <c:axId val="1525791711"/>
      </c:barChart>
      <c:catAx>
        <c:axId val="152579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91711"/>
        <c:crosses val="autoZero"/>
        <c:auto val="1"/>
        <c:lblAlgn val="ctr"/>
        <c:lblOffset val="100"/>
        <c:noMultiLvlLbl val="0"/>
      </c:catAx>
      <c:valAx>
        <c:axId val="1525791711"/>
        <c:scaling>
          <c:orientation val="minMax"/>
          <c:min val="1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LC-MS Signal (Peak area)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9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1</xdr:row>
      <xdr:rowOff>91440</xdr:rowOff>
    </xdr:from>
    <xdr:to>
      <xdr:col>16</xdr:col>
      <xdr:colOff>426720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1D90D-85A2-1DAC-BBC9-69C108E21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548640</xdr:colOff>
      <xdr:row>1</xdr:row>
      <xdr:rowOff>19050</xdr:rowOff>
    </xdr:from>
    <xdr:to>
      <xdr:col>25</xdr:col>
      <xdr:colOff>502920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F012C9-04D2-70E0-C0FB-D6647057D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129540</xdr:colOff>
      <xdr:row>24</xdr:row>
      <xdr:rowOff>144780</xdr:rowOff>
    </xdr:from>
    <xdr:to>
      <xdr:col>5</xdr:col>
      <xdr:colOff>541020</xdr:colOff>
      <xdr:row>42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1EA891-270D-00A8-6B66-83D343526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36</xdr:row>
      <xdr:rowOff>175260</xdr:rowOff>
    </xdr:from>
    <xdr:to>
      <xdr:col>6</xdr:col>
      <xdr:colOff>586740</xdr:colOff>
      <xdr:row>57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E483F-5ED2-3FBB-ACD5-319D9D52F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29</xdr:row>
      <xdr:rowOff>106680</xdr:rowOff>
    </xdr:from>
    <xdr:to>
      <xdr:col>4</xdr:col>
      <xdr:colOff>2011680</xdr:colOff>
      <xdr:row>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A429A-6B4C-59FF-3BED-E163F1DD5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571500</xdr:colOff>
      <xdr:row>30</xdr:row>
      <xdr:rowOff>19050</xdr:rowOff>
    </xdr:from>
    <xdr:to>
      <xdr:col>15</xdr:col>
      <xdr:colOff>1706880</xdr:colOff>
      <xdr:row>48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13667A-7343-9CB4-BD60-A7B9F390B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640080</xdr:colOff>
      <xdr:row>16</xdr:row>
      <xdr:rowOff>144780</xdr:rowOff>
    </xdr:from>
    <xdr:to>
      <xdr:col>5</xdr:col>
      <xdr:colOff>541020</xdr:colOff>
      <xdr:row>34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AAF78-73E0-926A-A262-DB2392F0B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685800</xdr:colOff>
      <xdr:row>6</xdr:row>
      <xdr:rowOff>0</xdr:rowOff>
    </xdr:from>
    <xdr:to>
      <xdr:col>13</xdr:col>
      <xdr:colOff>1485900</xdr:colOff>
      <xdr:row>26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EFA7E-10C1-2C36-B72B-BC5E91E2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1043940</xdr:colOff>
      <xdr:row>24</xdr:row>
      <xdr:rowOff>160020</xdr:rowOff>
    </xdr:from>
    <xdr:to>
      <xdr:col>6</xdr:col>
      <xdr:colOff>1432560</xdr:colOff>
      <xdr:row>43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FD451-66AA-406D-D781-59F04919F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5"/>
  <sheetViews>
    <sheetView workbookViewId="0">
      <selection activeCell="F9" sqref="F9"/>
    </sheetView>
  </sheetViews>
  <sheetFormatPr defaultRowHeight="14.4" x14ac:dyDescent="0.3"/>
  <cols>
    <col min="2" max="2" width="20.5546875" bestFit="1" customWidth="1"/>
    <col min="3" max="3" width="24.44140625" bestFit="1" customWidth="1"/>
    <col min="4" max="4" width="35" bestFit="1" customWidth="1"/>
    <col min="5" max="5" width="32" bestFit="1" customWidth="1"/>
    <col min="6" max="6" width="19.33203125" customWidth="1"/>
    <col min="7" max="7" width="13.21875" customWidth="1"/>
    <col min="8" max="9" width="15.88671875" bestFit="1" customWidth="1"/>
  </cols>
  <sheetData>
    <row r="2" spans="1:8" x14ac:dyDescent="0.3">
      <c r="B2" s="4" t="s">
        <v>11</v>
      </c>
      <c r="C2" s="1" t="s">
        <v>1</v>
      </c>
      <c r="D2" s="1" t="s">
        <v>2</v>
      </c>
      <c r="E2" s="2" t="s">
        <v>3</v>
      </c>
      <c r="F2" s="2" t="s">
        <v>4</v>
      </c>
      <c r="G2" s="3" t="s">
        <v>5</v>
      </c>
      <c r="H2" s="3" t="s">
        <v>6</v>
      </c>
    </row>
    <row r="3" spans="1:8" x14ac:dyDescent="0.3">
      <c r="A3" s="4" t="s">
        <v>7</v>
      </c>
      <c r="B3" s="4" t="s">
        <v>8</v>
      </c>
      <c r="C3" s="6">
        <v>3534317.5926999999</v>
      </c>
      <c r="D3" s="6">
        <v>3534317.5926999999</v>
      </c>
      <c r="E3" s="6">
        <v>3534317.5926999999</v>
      </c>
      <c r="F3" s="6">
        <v>3534317.5926999999</v>
      </c>
      <c r="G3" s="6">
        <v>3534317.5926999999</v>
      </c>
      <c r="H3" s="6">
        <v>3534317.5926999999</v>
      </c>
    </row>
    <row r="4" spans="1:8" x14ac:dyDescent="0.3">
      <c r="A4" s="4" t="s">
        <v>15</v>
      </c>
      <c r="B4" s="4" t="s">
        <v>8</v>
      </c>
      <c r="C4" s="6">
        <v>3534317.5926999999</v>
      </c>
      <c r="D4" s="6">
        <v>3534317.5926999999</v>
      </c>
      <c r="E4" s="6">
        <v>3534317.5926999999</v>
      </c>
      <c r="F4" s="6">
        <v>3494316.5126999998</v>
      </c>
      <c r="G4" s="6">
        <v>3534317.5926999999</v>
      </c>
      <c r="H4" s="6">
        <v>3503312.5299</v>
      </c>
    </row>
    <row r="5" spans="1:8" x14ac:dyDescent="0.3">
      <c r="C5" s="9" t="s">
        <v>20</v>
      </c>
      <c r="D5" s="8">
        <f>D3/20</f>
        <v>176715.87963499999</v>
      </c>
      <c r="E5" s="10" t="s">
        <v>21</v>
      </c>
      <c r="F5" s="10" t="s">
        <v>7</v>
      </c>
      <c r="G5" s="11">
        <f>G3/D5</f>
        <v>20</v>
      </c>
    </row>
    <row r="6" spans="1:8" x14ac:dyDescent="0.3">
      <c r="E6" s="10"/>
      <c r="F6" s="10" t="s">
        <v>15</v>
      </c>
      <c r="G6" s="11">
        <f>G4/D5</f>
        <v>20</v>
      </c>
      <c r="H6">
        <f>H4/D5</f>
        <v>19.824548518989694</v>
      </c>
    </row>
    <row r="7" spans="1:8" x14ac:dyDescent="0.3">
      <c r="B7" s="4" t="s">
        <v>12</v>
      </c>
      <c r="C7" s="1" t="s">
        <v>1</v>
      </c>
      <c r="D7" s="1" t="s">
        <v>2</v>
      </c>
      <c r="E7" s="2" t="s">
        <v>3</v>
      </c>
      <c r="F7" s="2" t="s">
        <v>4</v>
      </c>
      <c r="G7" s="3" t="s">
        <v>5</v>
      </c>
      <c r="H7" s="3" t="s">
        <v>6</v>
      </c>
    </row>
    <row r="8" spans="1:8" x14ac:dyDescent="0.3">
      <c r="A8" s="4" t="s">
        <v>7</v>
      </c>
      <c r="B8" s="4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s="4" t="s">
        <v>15</v>
      </c>
      <c r="B9" s="4" t="s">
        <v>8</v>
      </c>
      <c r="C9">
        <v>14072.6723</v>
      </c>
      <c r="D9">
        <v>13392.771500000001</v>
      </c>
      <c r="E9">
        <v>22808.252100000002</v>
      </c>
      <c r="F9" s="6">
        <v>45322.1054</v>
      </c>
      <c r="G9" s="6">
        <v>220.11</v>
      </c>
      <c r="H9" s="6">
        <v>22201.417000000001</v>
      </c>
    </row>
    <row r="11" spans="1:8" x14ac:dyDescent="0.3">
      <c r="B11" s="4" t="s">
        <v>13</v>
      </c>
      <c r="C11" s="1" t="s">
        <v>1</v>
      </c>
      <c r="D11" s="1" t="s">
        <v>2</v>
      </c>
      <c r="E11" s="2" t="s">
        <v>3</v>
      </c>
      <c r="F11" s="2" t="s">
        <v>4</v>
      </c>
      <c r="G11" s="3" t="s">
        <v>5</v>
      </c>
      <c r="H11" s="3" t="s">
        <v>6</v>
      </c>
    </row>
    <row r="12" spans="1:8" x14ac:dyDescent="0.3">
      <c r="A12" s="4" t="s">
        <v>7</v>
      </c>
      <c r="B12" s="4" t="s">
        <v>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s="4" t="s">
        <v>15</v>
      </c>
      <c r="B13" s="4" t="s">
        <v>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5" spans="1:8" x14ac:dyDescent="0.3">
      <c r="B15" s="4" t="s">
        <v>14</v>
      </c>
      <c r="C15" s="1" t="s">
        <v>1</v>
      </c>
      <c r="D15" s="1" t="s">
        <v>2</v>
      </c>
      <c r="E15" s="2" t="s">
        <v>3</v>
      </c>
      <c r="F15" s="2" t="s">
        <v>4</v>
      </c>
      <c r="G15" s="3" t="s">
        <v>5</v>
      </c>
      <c r="H15" s="3" t="s">
        <v>6</v>
      </c>
    </row>
    <row r="16" spans="1:8" x14ac:dyDescent="0.3">
      <c r="A16" s="4" t="s">
        <v>7</v>
      </c>
      <c r="B16" s="4" t="s">
        <v>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0" x14ac:dyDescent="0.3">
      <c r="A17" s="4" t="s">
        <v>15</v>
      </c>
      <c r="B17" s="4" t="s">
        <v>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10" x14ac:dyDescent="0.3">
      <c r="I18" s="6"/>
      <c r="J18" s="6"/>
    </row>
    <row r="20" spans="1:10" x14ac:dyDescent="0.3">
      <c r="A20" s="4" t="s">
        <v>15</v>
      </c>
      <c r="D20" s="1" t="s">
        <v>1</v>
      </c>
      <c r="E20" s="1" t="s">
        <v>2</v>
      </c>
      <c r="F20" s="2" t="s">
        <v>3</v>
      </c>
      <c r="G20" s="2" t="s">
        <v>4</v>
      </c>
      <c r="H20" s="3" t="s">
        <v>5</v>
      </c>
      <c r="I20" s="3" t="s">
        <v>6</v>
      </c>
    </row>
    <row r="21" spans="1:10" x14ac:dyDescent="0.3">
      <c r="A21" s="4" t="s">
        <v>18</v>
      </c>
      <c r="B21" s="4" t="s">
        <v>11</v>
      </c>
      <c r="C21" s="4" t="s">
        <v>8</v>
      </c>
      <c r="D21" s="6">
        <v>3534317.5926999999</v>
      </c>
      <c r="E21" s="6">
        <v>3534317.5926999999</v>
      </c>
      <c r="F21" s="6">
        <v>3534317.5926999999</v>
      </c>
      <c r="G21" s="6">
        <v>3494316.5126999998</v>
      </c>
      <c r="H21" s="6">
        <v>3534317.5926999999</v>
      </c>
      <c r="I21" s="6">
        <v>3503312.5299</v>
      </c>
    </row>
    <row r="22" spans="1:10" x14ac:dyDescent="0.3">
      <c r="A22" s="4"/>
      <c r="B22" s="4" t="s">
        <v>12</v>
      </c>
      <c r="C22" s="4" t="s">
        <v>8</v>
      </c>
      <c r="D22" s="6">
        <v>1407</v>
      </c>
      <c r="E22" s="6">
        <v>1339</v>
      </c>
      <c r="F22" s="6">
        <v>2280</v>
      </c>
      <c r="G22" s="6">
        <v>45322.1054</v>
      </c>
      <c r="H22" s="6">
        <v>220.11</v>
      </c>
      <c r="I22">
        <v>22201.417000000001</v>
      </c>
    </row>
    <row r="23" spans="1:10" x14ac:dyDescent="0.3">
      <c r="A23" s="4"/>
      <c r="B23" s="4" t="s">
        <v>13</v>
      </c>
      <c r="C23" s="4" t="s">
        <v>8</v>
      </c>
      <c r="D23" s="6">
        <v>0</v>
      </c>
      <c r="E23" s="6">
        <v>0</v>
      </c>
      <c r="F23" s="6">
        <v>0</v>
      </c>
      <c r="G23">
        <v>0</v>
      </c>
      <c r="H23" s="6">
        <v>0</v>
      </c>
      <c r="I23" s="6">
        <v>0</v>
      </c>
    </row>
    <row r="24" spans="1:10" x14ac:dyDescent="0.3">
      <c r="A24" s="4"/>
      <c r="B24" s="4" t="s">
        <v>14</v>
      </c>
      <c r="C24" s="4" t="s">
        <v>8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>
        <v>0</v>
      </c>
    </row>
    <row r="25" spans="1:10" x14ac:dyDescent="0.3">
      <c r="H25" s="6"/>
      <c r="I25" s="6">
        <f>I21+I22</f>
        <v>3525513.9468999999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5"/>
  <sheetViews>
    <sheetView workbookViewId="0">
      <selection activeCell="G12" sqref="G12"/>
    </sheetView>
  </sheetViews>
  <sheetFormatPr defaultRowHeight="14.4" x14ac:dyDescent="0.3"/>
  <cols>
    <col min="2" max="2" width="20.5546875" bestFit="1" customWidth="1"/>
    <col min="3" max="3" width="24.44140625" bestFit="1" customWidth="1"/>
    <col min="4" max="5" width="35" bestFit="1" customWidth="1"/>
    <col min="6" max="6" width="21.33203125" bestFit="1" customWidth="1"/>
    <col min="7" max="7" width="23.6640625" bestFit="1" customWidth="1"/>
    <col min="8" max="8" width="15.88671875" bestFit="1" customWidth="1"/>
    <col min="9" max="9" width="23.6640625" bestFit="1" customWidth="1"/>
  </cols>
  <sheetData>
    <row r="2" spans="1:9" x14ac:dyDescent="0.3">
      <c r="B2" s="4" t="s">
        <v>11</v>
      </c>
      <c r="C2" s="1" t="s">
        <v>0</v>
      </c>
      <c r="D2" s="1" t="s">
        <v>1</v>
      </c>
      <c r="E2" s="1" t="s">
        <v>2</v>
      </c>
      <c r="F2" s="2" t="s">
        <v>3</v>
      </c>
      <c r="G2" s="2" t="s">
        <v>4</v>
      </c>
      <c r="H2" s="3" t="s">
        <v>5</v>
      </c>
      <c r="I2" s="3" t="s">
        <v>6</v>
      </c>
    </row>
    <row r="3" spans="1:9" x14ac:dyDescent="0.3">
      <c r="A3" s="4" t="s">
        <v>7</v>
      </c>
      <c r="B3" s="4" t="s">
        <v>8</v>
      </c>
      <c r="C3">
        <v>2164893.0315999999</v>
      </c>
      <c r="D3">
        <v>2071172.2479999999</v>
      </c>
      <c r="E3">
        <v>2190313.0643000002</v>
      </c>
      <c r="F3">
        <v>1914878.7005</v>
      </c>
      <c r="G3">
        <v>2190042.5013000001</v>
      </c>
      <c r="H3">
        <v>2197149.3390000002</v>
      </c>
      <c r="I3">
        <v>2139008.3810000001</v>
      </c>
    </row>
    <row r="4" spans="1:9" x14ac:dyDescent="0.3">
      <c r="A4" s="4" t="s">
        <v>9</v>
      </c>
      <c r="B4" s="4" t="s">
        <v>8</v>
      </c>
      <c r="C4">
        <v>2260180.8078000001</v>
      </c>
      <c r="D4">
        <v>2051378.8403</v>
      </c>
      <c r="E4">
        <v>2268751.4136000001</v>
      </c>
      <c r="F4">
        <v>2025095.6979</v>
      </c>
      <c r="G4">
        <v>2252784.9676000001</v>
      </c>
      <c r="H4">
        <v>2183022.8119000001</v>
      </c>
      <c r="I4">
        <v>2035754.2794999999</v>
      </c>
    </row>
    <row r="5" spans="1:9" x14ac:dyDescent="0.3">
      <c r="A5" s="4" t="s">
        <v>10</v>
      </c>
      <c r="B5" s="4" t="s">
        <v>8</v>
      </c>
      <c r="C5">
        <v>2399494.7333999998</v>
      </c>
      <c r="D5">
        <v>1983066.5005000001</v>
      </c>
      <c r="E5">
        <v>2168751.4136000001</v>
      </c>
      <c r="F5">
        <v>19780612.692000002</v>
      </c>
      <c r="G5">
        <v>2100238.4989999998</v>
      </c>
      <c r="H5">
        <v>2119325.6074000001</v>
      </c>
      <c r="I5" s="7">
        <v>1773692.5379999999</v>
      </c>
    </row>
    <row r="6" spans="1:9" x14ac:dyDescent="0.3">
      <c r="A6" s="4" t="s">
        <v>15</v>
      </c>
      <c r="B6" s="4" t="s">
        <v>8</v>
      </c>
      <c r="C6" s="12" t="s">
        <v>16</v>
      </c>
      <c r="D6" s="12">
        <v>3522621.1079000002</v>
      </c>
      <c r="E6" s="12">
        <v>3523461.2357000001</v>
      </c>
      <c r="F6" s="12">
        <v>3514231.1079000002</v>
      </c>
      <c r="G6" s="12">
        <v>3281560.9032999999</v>
      </c>
      <c r="H6" s="12">
        <v>3563463.2357000001</v>
      </c>
      <c r="I6" s="13">
        <v>3642672.5290000001</v>
      </c>
    </row>
    <row r="7" spans="1:9" x14ac:dyDescent="0.3">
      <c r="D7" s="9" t="s">
        <v>20</v>
      </c>
      <c r="E7" s="8">
        <f>E3/20</f>
        <v>109515.65321500001</v>
      </c>
      <c r="F7" s="10" t="s">
        <v>21</v>
      </c>
      <c r="G7" s="4" t="s">
        <v>7</v>
      </c>
      <c r="H7" s="14">
        <f>H3/E7</f>
        <v>20.062422808971235</v>
      </c>
      <c r="I7" s="14">
        <f>I3/E7</f>
        <v>19.531531047901623</v>
      </c>
    </row>
    <row r="8" spans="1:9" x14ac:dyDescent="0.3">
      <c r="G8" s="4" t="s">
        <v>10</v>
      </c>
      <c r="H8" s="14">
        <f>H5/E7</f>
        <v>19.351805382919661</v>
      </c>
      <c r="I8" s="14">
        <f>I5/E7</f>
        <v>16.195790153558274</v>
      </c>
    </row>
    <row r="9" spans="1:9" x14ac:dyDescent="0.3">
      <c r="B9" s="4" t="s">
        <v>12</v>
      </c>
      <c r="C9" s="1" t="s">
        <v>0</v>
      </c>
      <c r="D9" s="1" t="s">
        <v>1</v>
      </c>
      <c r="E9" s="1" t="s">
        <v>2</v>
      </c>
      <c r="F9" s="2" t="s">
        <v>3</v>
      </c>
      <c r="G9" s="2" t="s">
        <v>4</v>
      </c>
      <c r="H9" s="3" t="s">
        <v>5</v>
      </c>
      <c r="I9" s="3" t="s">
        <v>6</v>
      </c>
    </row>
    <row r="10" spans="1:9" x14ac:dyDescent="0.3">
      <c r="A10" s="4" t="s">
        <v>7</v>
      </c>
      <c r="B10" s="4" t="s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s="4" t="s">
        <v>9</v>
      </c>
      <c r="B11" s="4" t="s">
        <v>8</v>
      </c>
      <c r="C11">
        <v>0</v>
      </c>
      <c r="D11">
        <v>0</v>
      </c>
      <c r="E11">
        <v>0</v>
      </c>
      <c r="F11">
        <v>25620.044099999999</v>
      </c>
      <c r="G11">
        <v>25620.044099999999</v>
      </c>
      <c r="H11">
        <v>0</v>
      </c>
      <c r="I11">
        <v>33809.255299999997</v>
      </c>
    </row>
    <row r="12" spans="1:9" x14ac:dyDescent="0.3">
      <c r="A12" s="4" t="s">
        <v>10</v>
      </c>
      <c r="B12" s="4" t="s">
        <v>8</v>
      </c>
      <c r="C12">
        <v>0</v>
      </c>
      <c r="D12">
        <v>0</v>
      </c>
      <c r="E12">
        <v>0</v>
      </c>
      <c r="F12">
        <v>0</v>
      </c>
      <c r="G12">
        <v>36932.764499999997</v>
      </c>
      <c r="H12">
        <v>0</v>
      </c>
      <c r="I12" s="4">
        <v>34551.016199999998</v>
      </c>
    </row>
    <row r="13" spans="1:9" x14ac:dyDescent="0.3">
      <c r="A13" s="4" t="s">
        <v>15</v>
      </c>
      <c r="B13" s="4" t="s">
        <v>8</v>
      </c>
      <c r="D13">
        <v>12</v>
      </c>
      <c r="E13">
        <v>6</v>
      </c>
      <c r="F13">
        <v>101</v>
      </c>
      <c r="G13">
        <v>103121.36500000001</v>
      </c>
      <c r="H13">
        <v>0</v>
      </c>
      <c r="I13">
        <v>40849.378900000003</v>
      </c>
    </row>
    <row r="16" spans="1:9" x14ac:dyDescent="0.3">
      <c r="B16" s="4" t="s">
        <v>13</v>
      </c>
      <c r="C16" s="1" t="s">
        <v>0</v>
      </c>
      <c r="D16" s="1" t="s">
        <v>1</v>
      </c>
      <c r="E16" s="1" t="s">
        <v>2</v>
      </c>
      <c r="F16" s="2" t="s">
        <v>3</v>
      </c>
      <c r="G16" s="2" t="s">
        <v>4</v>
      </c>
      <c r="H16" s="3" t="s">
        <v>5</v>
      </c>
      <c r="I16" s="3" t="s">
        <v>6</v>
      </c>
    </row>
    <row r="17" spans="1:9" x14ac:dyDescent="0.3">
      <c r="A17" s="4" t="s">
        <v>7</v>
      </c>
      <c r="B17" s="4" t="s">
        <v>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s="4" t="s">
        <v>9</v>
      </c>
      <c r="B18" s="4" t="s">
        <v>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s="4" t="s">
        <v>10</v>
      </c>
      <c r="B19" s="4" t="s">
        <v>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s="4" t="s">
        <v>15</v>
      </c>
      <c r="B20" s="4" t="s">
        <v>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4" spans="1:9" x14ac:dyDescent="0.3">
      <c r="B24" s="4" t="s">
        <v>14</v>
      </c>
      <c r="C24" s="1" t="s">
        <v>0</v>
      </c>
      <c r="D24" s="1" t="s">
        <v>1</v>
      </c>
      <c r="E24" s="1" t="s">
        <v>2</v>
      </c>
      <c r="F24" s="2" t="s">
        <v>3</v>
      </c>
      <c r="G24" s="2" t="s">
        <v>4</v>
      </c>
      <c r="H24" s="3" t="s">
        <v>5</v>
      </c>
      <c r="I24" s="3" t="s">
        <v>6</v>
      </c>
    </row>
    <row r="25" spans="1:9" x14ac:dyDescent="0.3">
      <c r="A25" s="4" t="s">
        <v>7</v>
      </c>
      <c r="B25" s="4" t="s">
        <v>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s="4" t="s">
        <v>9</v>
      </c>
      <c r="B26" s="4" t="s">
        <v>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s="4" t="s">
        <v>10</v>
      </c>
      <c r="B27" s="4" t="s">
        <v>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s="4" t="s">
        <v>15</v>
      </c>
      <c r="B28" s="4" t="s">
        <v>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166.26560000000001</v>
      </c>
    </row>
    <row r="31" spans="1:9" x14ac:dyDescent="0.3">
      <c r="A31" s="4" t="s">
        <v>15</v>
      </c>
      <c r="D31" s="1" t="s">
        <v>1</v>
      </c>
      <c r="E31" s="1" t="s">
        <v>2</v>
      </c>
      <c r="F31" s="2" t="s">
        <v>3</v>
      </c>
      <c r="G31" s="2" t="s">
        <v>4</v>
      </c>
      <c r="H31" s="3" t="s">
        <v>5</v>
      </c>
      <c r="I31" s="3" t="s">
        <v>6</v>
      </c>
    </row>
    <row r="32" spans="1:9" x14ac:dyDescent="0.3">
      <c r="A32" s="4" t="s">
        <v>17</v>
      </c>
      <c r="B32" s="4" t="s">
        <v>11</v>
      </c>
      <c r="C32" s="4" t="s">
        <v>8</v>
      </c>
      <c r="D32" s="6">
        <v>1876040.8439</v>
      </c>
      <c r="E32" s="6">
        <v>1876040.8439</v>
      </c>
      <c r="F32" s="6">
        <v>1876040.8439</v>
      </c>
      <c r="G32" s="6">
        <v>1876040.8439</v>
      </c>
      <c r="H32" s="6">
        <v>1876040.8439</v>
      </c>
      <c r="I32" s="6">
        <v>1876040.8439</v>
      </c>
    </row>
    <row r="33" spans="1:9" x14ac:dyDescent="0.3">
      <c r="A33" s="4"/>
      <c r="B33" s="4" t="s">
        <v>12</v>
      </c>
      <c r="C33" s="4" t="s">
        <v>8</v>
      </c>
      <c r="D33">
        <v>12</v>
      </c>
      <c r="E33">
        <v>6</v>
      </c>
      <c r="F33">
        <v>101</v>
      </c>
      <c r="G33">
        <v>103121.36500000001</v>
      </c>
      <c r="H33">
        <v>0</v>
      </c>
      <c r="I33">
        <v>40849.378900000003</v>
      </c>
    </row>
    <row r="34" spans="1:9" x14ac:dyDescent="0.3">
      <c r="A34" s="4"/>
      <c r="B34" s="4" t="s">
        <v>13</v>
      </c>
      <c r="C34" s="4" t="s">
        <v>8</v>
      </c>
      <c r="D34" s="6">
        <v>0</v>
      </c>
      <c r="E34" s="6">
        <v>0</v>
      </c>
      <c r="F34" s="6">
        <v>0</v>
      </c>
      <c r="G34">
        <v>0</v>
      </c>
      <c r="H34" s="6">
        <v>0</v>
      </c>
      <c r="I34" s="6">
        <v>0</v>
      </c>
    </row>
    <row r="35" spans="1:9" x14ac:dyDescent="0.3">
      <c r="A35" s="4"/>
      <c r="B35" s="4" t="s">
        <v>14</v>
      </c>
      <c r="C35" s="4" t="s">
        <v>8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>
        <v>166.26560000000001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9"/>
  <sheetViews>
    <sheetView workbookViewId="0">
      <selection activeCell="G9" sqref="G9"/>
    </sheetView>
  </sheetViews>
  <sheetFormatPr defaultRowHeight="14.4" x14ac:dyDescent="0.3"/>
  <cols>
    <col min="3" max="3" width="20.5546875" bestFit="1" customWidth="1"/>
    <col min="4" max="4" width="24.44140625" bestFit="1" customWidth="1"/>
    <col min="5" max="5" width="35" bestFit="1" customWidth="1"/>
    <col min="6" max="6" width="23.6640625" bestFit="1" customWidth="1"/>
    <col min="7" max="7" width="15.5546875" bestFit="1" customWidth="1"/>
    <col min="8" max="8" width="23.6640625" bestFit="1" customWidth="1"/>
    <col min="9" max="9" width="14.6640625" bestFit="1" customWidth="1"/>
    <col min="14" max="14" width="20.5546875" bestFit="1" customWidth="1"/>
    <col min="15" max="15" width="24.44140625" bestFit="1" customWidth="1"/>
    <col min="16" max="16" width="35" bestFit="1" customWidth="1"/>
    <col min="17" max="17" width="13.44140625" customWidth="1"/>
    <col min="18" max="18" width="15.5546875" bestFit="1" customWidth="1"/>
    <col min="20" max="20" width="15.88671875" bestFit="1" customWidth="1"/>
  </cols>
  <sheetData>
    <row r="1" spans="1:18" ht="18" x14ac:dyDescent="0.35">
      <c r="A1" s="5">
        <v>201</v>
      </c>
      <c r="C1" s="4" t="s">
        <v>11</v>
      </c>
      <c r="D1" s="1" t="s">
        <v>1</v>
      </c>
      <c r="E1" s="1" t="s">
        <v>2</v>
      </c>
      <c r="F1" s="2" t="s">
        <v>3</v>
      </c>
      <c r="G1" s="2" t="s">
        <v>4</v>
      </c>
      <c r="H1" s="3" t="s">
        <v>5</v>
      </c>
      <c r="I1" s="3" t="s">
        <v>6</v>
      </c>
      <c r="L1" s="5">
        <v>278</v>
      </c>
      <c r="N1" s="4" t="s">
        <v>11</v>
      </c>
      <c r="O1" s="2" t="s">
        <v>3</v>
      </c>
      <c r="P1" s="2" t="s">
        <v>4</v>
      </c>
      <c r="Q1" s="3" t="s">
        <v>5</v>
      </c>
      <c r="R1" s="3" t="s">
        <v>6</v>
      </c>
    </row>
    <row r="2" spans="1:18" x14ac:dyDescent="0.3">
      <c r="B2" s="4" t="s">
        <v>7</v>
      </c>
      <c r="C2" s="4" t="s">
        <v>8</v>
      </c>
      <c r="D2">
        <v>3653915.8536</v>
      </c>
      <c r="E2">
        <v>3653915.8536</v>
      </c>
      <c r="F2">
        <v>3631414.8903999999</v>
      </c>
      <c r="G2">
        <v>3612414.8204000001</v>
      </c>
      <c r="H2">
        <v>3653915.8536</v>
      </c>
      <c r="I2" s="6">
        <v>3646936.8343000002</v>
      </c>
      <c r="M2" s="4" t="s">
        <v>7</v>
      </c>
      <c r="N2" s="4" t="s">
        <v>8</v>
      </c>
      <c r="O2" s="6">
        <v>3061153.6376999998</v>
      </c>
      <c r="P2" s="6">
        <v>2961134.156</v>
      </c>
      <c r="Q2" s="6">
        <v>3661218.8735000002</v>
      </c>
      <c r="R2" s="6">
        <v>3597015.4964999999</v>
      </c>
    </row>
    <row r="3" spans="1:18" x14ac:dyDescent="0.3">
      <c r="B3" s="4" t="s">
        <v>10</v>
      </c>
      <c r="C3" s="4" t="s">
        <v>8</v>
      </c>
      <c r="D3">
        <v>3628031.6228999998</v>
      </c>
      <c r="E3">
        <v>3630478.2812999999</v>
      </c>
      <c r="F3">
        <v>3024001.0443000002</v>
      </c>
      <c r="G3">
        <v>3075918.2836000002</v>
      </c>
      <c r="H3" s="6">
        <v>3592657.3694000002</v>
      </c>
      <c r="I3" s="6">
        <v>3608249.0913</v>
      </c>
      <c r="M3" s="4" t="s">
        <v>10</v>
      </c>
      <c r="N3" s="4" t="s">
        <v>8</v>
      </c>
      <c r="O3" s="6">
        <v>3020135.1150000002</v>
      </c>
      <c r="P3" s="6">
        <v>2947246.5702</v>
      </c>
      <c r="Q3" s="6">
        <v>3461178.0071999999</v>
      </c>
      <c r="R3" s="6">
        <v>3473103.1576999999</v>
      </c>
    </row>
    <row r="4" spans="1:18" x14ac:dyDescent="0.3">
      <c r="B4" s="15" t="s">
        <v>15</v>
      </c>
      <c r="C4" s="15" t="s">
        <v>8</v>
      </c>
      <c r="D4" s="12">
        <v>3730750.1885000002</v>
      </c>
      <c r="E4" s="12">
        <v>3630730.1885000002</v>
      </c>
      <c r="F4" s="12">
        <v>3643051.0965</v>
      </c>
      <c r="G4" s="12">
        <v>3166000.3223999999</v>
      </c>
      <c r="H4" s="12">
        <v>3680246.7122</v>
      </c>
      <c r="I4" s="12">
        <v>3558249.0913</v>
      </c>
      <c r="M4" s="15" t="s">
        <v>15</v>
      </c>
      <c r="N4" s="15" t="s">
        <v>8</v>
      </c>
      <c r="O4" s="13">
        <v>3023135.1150000002</v>
      </c>
      <c r="P4" s="13">
        <v>2911034.156</v>
      </c>
      <c r="Q4" s="13">
        <v>30643178.007199999</v>
      </c>
      <c r="R4" s="13">
        <v>3047103.1576999999</v>
      </c>
    </row>
    <row r="5" spans="1:18" x14ac:dyDescent="0.3">
      <c r="D5" s="9" t="s">
        <v>20</v>
      </c>
      <c r="E5" s="8">
        <f>E2/20</f>
        <v>182695.79268000001</v>
      </c>
      <c r="F5" s="10" t="s">
        <v>21</v>
      </c>
      <c r="G5" s="4" t="s">
        <v>7</v>
      </c>
      <c r="H5" s="14">
        <f>H2/E5</f>
        <v>20</v>
      </c>
      <c r="I5" s="14">
        <f>I2/E5</f>
        <v>19.961799780949395</v>
      </c>
      <c r="M5" s="9" t="s">
        <v>20</v>
      </c>
      <c r="N5" s="8">
        <v>182695.79268000001</v>
      </c>
      <c r="O5" s="10" t="s">
        <v>21</v>
      </c>
      <c r="P5" s="4" t="s">
        <v>7</v>
      </c>
      <c r="Q5" s="14">
        <f>Q2/N5</f>
        <v>20.039973662189318</v>
      </c>
      <c r="R5" s="14">
        <f>R2/N5</f>
        <v>19.688551354876225</v>
      </c>
    </row>
    <row r="6" spans="1:18" x14ac:dyDescent="0.3">
      <c r="G6" s="4" t="s">
        <v>10</v>
      </c>
      <c r="H6" s="16">
        <f>H3/E5</f>
        <v>19.664696798424377</v>
      </c>
      <c r="I6" s="17">
        <f>I3/E5</f>
        <v>19.750039332432863</v>
      </c>
      <c r="P6" s="4" t="s">
        <v>10</v>
      </c>
      <c r="Q6" s="14">
        <f>Q3/N5</f>
        <v>18.945034017627382</v>
      </c>
      <c r="R6" s="16">
        <f>R3/N5</f>
        <v>19.010307280492757</v>
      </c>
    </row>
    <row r="7" spans="1:18" x14ac:dyDescent="0.3">
      <c r="C7" s="4" t="s">
        <v>12</v>
      </c>
      <c r="D7" s="1" t="s">
        <v>1</v>
      </c>
      <c r="E7" s="1" t="s">
        <v>2</v>
      </c>
      <c r="F7" s="2" t="s">
        <v>3</v>
      </c>
      <c r="G7" s="2" t="s">
        <v>4</v>
      </c>
      <c r="H7" s="3" t="s">
        <v>5</v>
      </c>
      <c r="I7" s="3" t="s">
        <v>6</v>
      </c>
      <c r="N7" s="4" t="s">
        <v>12</v>
      </c>
      <c r="O7" s="2" t="s">
        <v>3</v>
      </c>
      <c r="P7" s="2" t="s">
        <v>4</v>
      </c>
      <c r="Q7" s="3" t="s">
        <v>5</v>
      </c>
      <c r="R7" s="3" t="s">
        <v>6</v>
      </c>
    </row>
    <row r="8" spans="1:18" x14ac:dyDescent="0.3">
      <c r="B8" s="4" t="s">
        <v>7</v>
      </c>
      <c r="C8" s="4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M8" s="4" t="s">
        <v>7</v>
      </c>
      <c r="N8" s="4" t="s">
        <v>8</v>
      </c>
      <c r="O8" s="6">
        <v>0</v>
      </c>
      <c r="P8" s="6">
        <v>0</v>
      </c>
      <c r="Q8" s="6">
        <v>0</v>
      </c>
      <c r="R8" s="6">
        <v>0</v>
      </c>
    </row>
    <row r="9" spans="1:18" x14ac:dyDescent="0.3">
      <c r="B9" s="4" t="s">
        <v>10</v>
      </c>
      <c r="C9" s="4" t="s">
        <v>8</v>
      </c>
      <c r="D9">
        <v>1779</v>
      </c>
      <c r="E9">
        <v>1529</v>
      </c>
      <c r="F9">
        <v>19431</v>
      </c>
      <c r="G9" s="6">
        <v>46053.143199999999</v>
      </c>
      <c r="H9">
        <v>22331</v>
      </c>
      <c r="I9" s="6">
        <v>22331</v>
      </c>
      <c r="M9" s="4" t="s">
        <v>10</v>
      </c>
      <c r="N9" s="4" t="s">
        <v>8</v>
      </c>
      <c r="O9" s="6">
        <v>1977</v>
      </c>
      <c r="P9" s="6">
        <v>35891.372300000003</v>
      </c>
      <c r="Q9" s="6">
        <v>211</v>
      </c>
      <c r="R9" s="6">
        <v>35047.756099999999</v>
      </c>
    </row>
    <row r="10" spans="1:18" x14ac:dyDescent="0.3">
      <c r="B10" s="4" t="s">
        <v>15</v>
      </c>
      <c r="C10" s="4" t="s">
        <v>8</v>
      </c>
      <c r="D10">
        <v>208</v>
      </c>
      <c r="E10">
        <v>211</v>
      </c>
      <c r="F10">
        <v>271</v>
      </c>
      <c r="G10">
        <v>47173.661</v>
      </c>
      <c r="H10">
        <v>216</v>
      </c>
      <c r="I10">
        <v>11840.250400000001</v>
      </c>
      <c r="M10" s="4" t="s">
        <v>15</v>
      </c>
      <c r="N10" s="4" t="s">
        <v>8</v>
      </c>
      <c r="O10" s="6">
        <v>228</v>
      </c>
      <c r="P10" s="6">
        <v>48178.968699999998</v>
      </c>
      <c r="Q10" s="6">
        <v>220</v>
      </c>
      <c r="R10" s="6">
        <v>44586.097699999998</v>
      </c>
    </row>
    <row r="13" spans="1:18" x14ac:dyDescent="0.3">
      <c r="C13" s="4" t="s">
        <v>13</v>
      </c>
      <c r="D13" s="1" t="s">
        <v>1</v>
      </c>
      <c r="E13" s="1" t="s">
        <v>2</v>
      </c>
      <c r="F13" s="2" t="s">
        <v>3</v>
      </c>
      <c r="G13" s="2" t="s">
        <v>4</v>
      </c>
      <c r="H13" s="3" t="s">
        <v>5</v>
      </c>
      <c r="I13" s="3" t="s">
        <v>6</v>
      </c>
      <c r="N13" s="4" t="s">
        <v>13</v>
      </c>
      <c r="O13" s="2" t="s">
        <v>3</v>
      </c>
      <c r="P13" s="2" t="s">
        <v>4</v>
      </c>
      <c r="Q13" s="3" t="s">
        <v>5</v>
      </c>
      <c r="R13" s="3" t="s">
        <v>6</v>
      </c>
    </row>
    <row r="14" spans="1:18" x14ac:dyDescent="0.3">
      <c r="B14" s="4" t="s">
        <v>7</v>
      </c>
      <c r="C14" s="4" t="s">
        <v>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M14" s="4" t="s">
        <v>7</v>
      </c>
      <c r="N14" s="4" t="s">
        <v>8</v>
      </c>
      <c r="O14">
        <v>0</v>
      </c>
      <c r="P14">
        <v>0</v>
      </c>
      <c r="Q14">
        <v>0</v>
      </c>
      <c r="R14">
        <v>0</v>
      </c>
    </row>
    <row r="15" spans="1:18" x14ac:dyDescent="0.3">
      <c r="B15" s="4" t="s">
        <v>10</v>
      </c>
      <c r="C15" s="4" t="s">
        <v>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M15" s="4" t="s">
        <v>10</v>
      </c>
      <c r="N15" s="4" t="s">
        <v>8</v>
      </c>
      <c r="O15">
        <v>0</v>
      </c>
      <c r="P15">
        <v>0</v>
      </c>
      <c r="Q15">
        <v>0</v>
      </c>
      <c r="R15">
        <v>0</v>
      </c>
    </row>
    <row r="16" spans="1:18" x14ac:dyDescent="0.3">
      <c r="B16" s="4" t="s">
        <v>15</v>
      </c>
      <c r="C16" s="4" t="s">
        <v>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M16" s="4" t="s">
        <v>15</v>
      </c>
      <c r="N16" s="4" t="s">
        <v>8</v>
      </c>
      <c r="O16">
        <v>0</v>
      </c>
      <c r="P16">
        <v>224.87889999999999</v>
      </c>
      <c r="Q16">
        <v>0</v>
      </c>
      <c r="R16">
        <v>0</v>
      </c>
    </row>
    <row r="19" spans="1:20" x14ac:dyDescent="0.3">
      <c r="C19" s="4" t="s">
        <v>14</v>
      </c>
      <c r="D19" s="1" t="s">
        <v>1</v>
      </c>
      <c r="E19" s="1" t="s">
        <v>2</v>
      </c>
      <c r="F19" s="2" t="s">
        <v>3</v>
      </c>
      <c r="G19" s="2" t="s">
        <v>4</v>
      </c>
      <c r="H19" s="3" t="s">
        <v>5</v>
      </c>
      <c r="I19" s="3" t="s">
        <v>6</v>
      </c>
      <c r="N19" s="4" t="s">
        <v>14</v>
      </c>
      <c r="O19" s="2" t="s">
        <v>3</v>
      </c>
      <c r="P19" s="2" t="s">
        <v>4</v>
      </c>
      <c r="Q19" s="3" t="s">
        <v>5</v>
      </c>
      <c r="R19" s="3" t="s">
        <v>6</v>
      </c>
    </row>
    <row r="20" spans="1:20" x14ac:dyDescent="0.3">
      <c r="B20" s="4" t="s">
        <v>7</v>
      </c>
      <c r="C20" s="4" t="s">
        <v>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M20" s="4" t="s">
        <v>7</v>
      </c>
      <c r="N20" s="4" t="s">
        <v>8</v>
      </c>
      <c r="O20">
        <v>0</v>
      </c>
      <c r="P20">
        <v>0</v>
      </c>
      <c r="Q20">
        <v>0</v>
      </c>
      <c r="R20">
        <v>0</v>
      </c>
    </row>
    <row r="21" spans="1:20" x14ac:dyDescent="0.3">
      <c r="B21" s="4" t="s">
        <v>10</v>
      </c>
      <c r="C21" s="4" t="s">
        <v>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M21" s="4" t="s">
        <v>10</v>
      </c>
      <c r="N21" s="4" t="s">
        <v>8</v>
      </c>
      <c r="O21">
        <v>0</v>
      </c>
      <c r="P21">
        <v>0</v>
      </c>
      <c r="Q21">
        <v>0</v>
      </c>
      <c r="R21">
        <v>0</v>
      </c>
    </row>
    <row r="22" spans="1:20" x14ac:dyDescent="0.3">
      <c r="B22" s="4" t="s">
        <v>15</v>
      </c>
      <c r="C22" s="4" t="s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M22" s="4" t="s">
        <v>15</v>
      </c>
      <c r="N22" s="4" t="s">
        <v>8</v>
      </c>
      <c r="O22">
        <v>0</v>
      </c>
      <c r="P22">
        <v>0</v>
      </c>
      <c r="Q22">
        <v>0</v>
      </c>
      <c r="R22">
        <v>0</v>
      </c>
    </row>
    <row r="25" spans="1:20" x14ac:dyDescent="0.3">
      <c r="A25" s="4" t="s">
        <v>15</v>
      </c>
      <c r="D25" s="1" t="s">
        <v>1</v>
      </c>
      <c r="E25" s="1" t="s">
        <v>2</v>
      </c>
      <c r="F25" s="2" t="s">
        <v>3</v>
      </c>
      <c r="G25" s="2" t="s">
        <v>4</v>
      </c>
      <c r="H25" s="3" t="s">
        <v>5</v>
      </c>
      <c r="I25" s="3" t="s">
        <v>6</v>
      </c>
      <c r="L25" s="4" t="s">
        <v>15</v>
      </c>
      <c r="O25" s="1" t="s">
        <v>1</v>
      </c>
      <c r="P25" s="1" t="s">
        <v>2</v>
      </c>
      <c r="Q25" s="2" t="s">
        <v>3</v>
      </c>
      <c r="R25" s="2" t="s">
        <v>4</v>
      </c>
      <c r="S25" s="3" t="s">
        <v>5</v>
      </c>
      <c r="T25" s="3" t="s">
        <v>6</v>
      </c>
    </row>
    <row r="26" spans="1:20" x14ac:dyDescent="0.3">
      <c r="A26" s="4">
        <v>201</v>
      </c>
      <c r="B26" s="4" t="s">
        <v>11</v>
      </c>
      <c r="C26" s="4" t="s">
        <v>8</v>
      </c>
      <c r="D26" s="6">
        <v>3430750.1885000002</v>
      </c>
      <c r="E26" s="6">
        <v>3430730.1885000002</v>
      </c>
      <c r="F26" s="6">
        <v>3433051.0965</v>
      </c>
      <c r="G26" s="6">
        <v>3436000.3223999999</v>
      </c>
      <c r="H26" s="6">
        <v>3430246.7122</v>
      </c>
      <c r="I26" s="6">
        <v>3438249.0913</v>
      </c>
      <c r="L26" s="4">
        <v>201</v>
      </c>
      <c r="M26" s="4" t="s">
        <v>11</v>
      </c>
      <c r="N26" s="4" t="s">
        <v>8</v>
      </c>
      <c r="O26" s="6">
        <v>3430750.1885000002</v>
      </c>
      <c r="P26" s="6">
        <v>3430730.1885000002</v>
      </c>
      <c r="Q26" s="6">
        <v>3433051.0965</v>
      </c>
      <c r="R26" s="6">
        <v>3436000.3223999999</v>
      </c>
      <c r="S26" s="6">
        <v>3430246.7122</v>
      </c>
      <c r="T26" s="6">
        <v>3438249.0913</v>
      </c>
    </row>
    <row r="27" spans="1:20" x14ac:dyDescent="0.3">
      <c r="B27" s="4" t="s">
        <v>12</v>
      </c>
      <c r="C27" s="4" t="s">
        <v>8</v>
      </c>
      <c r="D27" s="6">
        <v>208</v>
      </c>
      <c r="E27" s="6">
        <v>211</v>
      </c>
      <c r="F27" s="6">
        <v>271</v>
      </c>
      <c r="G27" s="6">
        <v>57173.661</v>
      </c>
      <c r="H27" s="6">
        <v>216</v>
      </c>
      <c r="I27" s="6">
        <v>22331</v>
      </c>
      <c r="M27" s="4" t="s">
        <v>12</v>
      </c>
      <c r="N27" s="4" t="s">
        <v>8</v>
      </c>
      <c r="O27" s="6">
        <v>208</v>
      </c>
      <c r="P27" s="6">
        <v>211</v>
      </c>
      <c r="Q27">
        <v>228</v>
      </c>
      <c r="R27">
        <v>48178.968699999998</v>
      </c>
      <c r="S27">
        <v>220</v>
      </c>
      <c r="T27">
        <v>44586.097699999998</v>
      </c>
    </row>
    <row r="28" spans="1:20" x14ac:dyDescent="0.3">
      <c r="B28" s="4" t="s">
        <v>13</v>
      </c>
      <c r="C28" s="4" t="s">
        <v>8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M28" s="4" t="s">
        <v>13</v>
      </c>
      <c r="N28" s="4" t="s">
        <v>8</v>
      </c>
      <c r="O28" s="6">
        <v>0</v>
      </c>
      <c r="P28" s="6">
        <v>0</v>
      </c>
      <c r="Q28" s="6">
        <v>0</v>
      </c>
      <c r="R28">
        <v>224.87889999999999</v>
      </c>
      <c r="S28" s="6">
        <v>0</v>
      </c>
      <c r="T28" s="6">
        <v>0</v>
      </c>
    </row>
    <row r="29" spans="1:20" x14ac:dyDescent="0.3">
      <c r="B29" s="4" t="s">
        <v>14</v>
      </c>
      <c r="C29" s="4" t="s">
        <v>8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M29" s="4" t="s">
        <v>14</v>
      </c>
      <c r="N29" s="4" t="s">
        <v>8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7"/>
  <sheetViews>
    <sheetView workbookViewId="0">
      <selection activeCell="A2" sqref="A2:H17"/>
    </sheetView>
  </sheetViews>
  <sheetFormatPr defaultRowHeight="14.4" x14ac:dyDescent="0.3"/>
  <cols>
    <col min="2" max="2" width="20.5546875" bestFit="1" customWidth="1"/>
    <col min="3" max="3" width="24.44140625" bestFit="1" customWidth="1"/>
    <col min="4" max="4" width="35" bestFit="1" customWidth="1"/>
    <col min="5" max="5" width="23.6640625" bestFit="1" customWidth="1"/>
    <col min="6" max="6" width="15.5546875" bestFit="1" customWidth="1"/>
    <col min="7" max="7" width="23.6640625" bestFit="1" customWidth="1"/>
    <col min="8" max="8" width="15.88671875" bestFit="1" customWidth="1"/>
  </cols>
  <sheetData>
    <row r="2" spans="1:8" x14ac:dyDescent="0.3">
      <c r="B2" s="4" t="s">
        <v>11</v>
      </c>
      <c r="C2" s="1" t="s">
        <v>1</v>
      </c>
      <c r="D2" s="1" t="s">
        <v>2</v>
      </c>
      <c r="E2" s="2" t="s">
        <v>3</v>
      </c>
      <c r="F2" s="2" t="s">
        <v>4</v>
      </c>
      <c r="G2" s="3" t="s">
        <v>5</v>
      </c>
      <c r="H2" s="3" t="s">
        <v>6</v>
      </c>
    </row>
    <row r="3" spans="1:8" x14ac:dyDescent="0.3">
      <c r="A3" s="4" t="s">
        <v>7</v>
      </c>
      <c r="B3" s="4" t="s">
        <v>8</v>
      </c>
      <c r="C3">
        <v>3599828.9297000002</v>
      </c>
      <c r="D3">
        <v>3546259.8251</v>
      </c>
      <c r="E3">
        <v>3534317.5926999999</v>
      </c>
      <c r="F3">
        <v>3568310.5926999999</v>
      </c>
      <c r="G3" s="6">
        <v>3543920.4720000001</v>
      </c>
      <c r="H3" s="6">
        <v>3568300.5926999999</v>
      </c>
    </row>
    <row r="4" spans="1:8" x14ac:dyDescent="0.3">
      <c r="A4" s="4" t="s">
        <v>15</v>
      </c>
      <c r="B4" s="4" t="s">
        <v>8</v>
      </c>
      <c r="C4">
        <v>3599828.9297000002</v>
      </c>
      <c r="D4">
        <v>3534725.4709999999</v>
      </c>
      <c r="E4">
        <v>3511152.2437999998</v>
      </c>
      <c r="F4">
        <v>3542601.8801000002</v>
      </c>
      <c r="G4" s="6">
        <v>3473787.4898000001</v>
      </c>
      <c r="H4" s="6">
        <v>3530172.6310000001</v>
      </c>
    </row>
    <row r="5" spans="1:8" x14ac:dyDescent="0.3">
      <c r="C5" s="9" t="s">
        <v>20</v>
      </c>
      <c r="D5" s="8">
        <f>D3/20</f>
        <v>177312.991255</v>
      </c>
      <c r="E5" s="10" t="s">
        <v>21</v>
      </c>
      <c r="F5" s="4" t="s">
        <v>7</v>
      </c>
      <c r="G5" s="14">
        <f>G3/D5</f>
        <v>19.986806645788093</v>
      </c>
      <c r="H5" s="14">
        <f>H3/D5</f>
        <v>20.124304301923949</v>
      </c>
    </row>
    <row r="6" spans="1:8" x14ac:dyDescent="0.3">
      <c r="F6" s="4" t="s">
        <v>15</v>
      </c>
      <c r="G6" s="17">
        <f>G4/D5</f>
        <v>19.591274532187125</v>
      </c>
      <c r="H6" s="18">
        <f>H4/D5</f>
        <v>19.909272332579036</v>
      </c>
    </row>
    <row r="7" spans="1:8" x14ac:dyDescent="0.3">
      <c r="B7" s="4" t="s">
        <v>12</v>
      </c>
      <c r="C7" s="1" t="s">
        <v>1</v>
      </c>
      <c r="D7" s="1" t="s">
        <v>2</v>
      </c>
      <c r="E7" s="2" t="s">
        <v>3</v>
      </c>
      <c r="F7" s="2" t="s">
        <v>4</v>
      </c>
      <c r="G7" s="3" t="s">
        <v>5</v>
      </c>
      <c r="H7" s="3" t="s">
        <v>6</v>
      </c>
    </row>
    <row r="8" spans="1:8" x14ac:dyDescent="0.3">
      <c r="A8" s="4" t="s">
        <v>7</v>
      </c>
      <c r="B8" s="4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s="4" t="s">
        <v>15</v>
      </c>
      <c r="B9" s="4" t="s">
        <v>8</v>
      </c>
      <c r="C9">
        <v>13607.090099999999</v>
      </c>
      <c r="D9">
        <v>13395.5656</v>
      </c>
      <c r="E9">
        <v>11489.358200000001</v>
      </c>
      <c r="F9" s="6">
        <v>24926.083999999999</v>
      </c>
      <c r="G9">
        <v>14536.790199999999</v>
      </c>
      <c r="H9">
        <v>38049.7137</v>
      </c>
    </row>
    <row r="11" spans="1:8" x14ac:dyDescent="0.3">
      <c r="B11" s="4" t="s">
        <v>13</v>
      </c>
      <c r="C11" s="1" t="s">
        <v>1</v>
      </c>
      <c r="D11" s="1" t="s">
        <v>2</v>
      </c>
      <c r="E11" s="2" t="s">
        <v>3</v>
      </c>
      <c r="F11" s="2" t="s">
        <v>4</v>
      </c>
      <c r="G11" s="3" t="s">
        <v>5</v>
      </c>
      <c r="H11" s="3" t="s">
        <v>6</v>
      </c>
    </row>
    <row r="12" spans="1:8" x14ac:dyDescent="0.3">
      <c r="A12" s="4" t="s">
        <v>7</v>
      </c>
      <c r="B12" s="4" t="s">
        <v>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s="4" t="s">
        <v>15</v>
      </c>
      <c r="B13" s="4" t="s">
        <v>8</v>
      </c>
      <c r="C13">
        <v>0</v>
      </c>
      <c r="D13">
        <v>0</v>
      </c>
      <c r="E13">
        <v>0</v>
      </c>
      <c r="F13">
        <v>0</v>
      </c>
      <c r="G13">
        <v>0</v>
      </c>
      <c r="H13">
        <v>100.6498</v>
      </c>
    </row>
    <row r="15" spans="1:8" x14ac:dyDescent="0.3">
      <c r="B15" s="4" t="s">
        <v>14</v>
      </c>
      <c r="C15" s="1" t="s">
        <v>1</v>
      </c>
      <c r="D15" s="1" t="s">
        <v>2</v>
      </c>
      <c r="E15" s="2" t="s">
        <v>3</v>
      </c>
      <c r="F15" s="2" t="s">
        <v>4</v>
      </c>
      <c r="G15" s="3" t="s">
        <v>5</v>
      </c>
      <c r="H15" s="3" t="s">
        <v>6</v>
      </c>
    </row>
    <row r="16" spans="1:8" x14ac:dyDescent="0.3">
      <c r="A16" s="4" t="s">
        <v>7</v>
      </c>
      <c r="B16" s="4" t="s">
        <v>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s="4" t="s">
        <v>15</v>
      </c>
      <c r="B17" s="4" t="s">
        <v>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5E3C-D202-4D30-803B-F52D0291BFA6}">
  <dimension ref="A2:H17"/>
  <sheetViews>
    <sheetView workbookViewId="0">
      <selection activeCell="A2" sqref="A2:H17"/>
    </sheetView>
  </sheetViews>
  <sheetFormatPr defaultRowHeight="14.4" x14ac:dyDescent="0.3"/>
  <cols>
    <col min="2" max="2" width="19.33203125" bestFit="1" customWidth="1"/>
    <col min="3" max="3" width="22.5546875" bestFit="1" customWidth="1"/>
    <col min="4" max="4" width="32" bestFit="1" customWidth="1"/>
    <col min="5" max="5" width="21.33203125" bestFit="1" customWidth="1"/>
    <col min="6" max="6" width="14.33203125" bestFit="1" customWidth="1"/>
    <col min="7" max="7" width="11" bestFit="1" customWidth="1"/>
    <col min="8" max="8" width="14.6640625" bestFit="1" customWidth="1"/>
  </cols>
  <sheetData>
    <row r="2" spans="1:8" x14ac:dyDescent="0.3">
      <c r="B2" s="4" t="s">
        <v>11</v>
      </c>
      <c r="C2" s="1" t="s">
        <v>1</v>
      </c>
      <c r="D2" s="1" t="s">
        <v>2</v>
      </c>
      <c r="E2" s="2" t="s">
        <v>3</v>
      </c>
      <c r="F2" s="2" t="s">
        <v>4</v>
      </c>
      <c r="G2" s="3" t="s">
        <v>5</v>
      </c>
      <c r="H2" s="3" t="s">
        <v>6</v>
      </c>
    </row>
    <row r="3" spans="1:8" x14ac:dyDescent="0.3">
      <c r="A3" s="4" t="s">
        <v>7</v>
      </c>
      <c r="B3" s="4" t="s">
        <v>8</v>
      </c>
      <c r="C3">
        <v>3584979.5559999999</v>
      </c>
      <c r="D3">
        <v>3568413.9593000002</v>
      </c>
      <c r="E3">
        <v>3578440.5907000001</v>
      </c>
      <c r="F3">
        <v>3577440.7544999998</v>
      </c>
      <c r="G3" s="6">
        <v>3567450.7524999999</v>
      </c>
      <c r="H3" s="6">
        <v>3568300.5926999999</v>
      </c>
    </row>
    <row r="4" spans="1:8" x14ac:dyDescent="0.3">
      <c r="A4" s="4" t="s">
        <v>10</v>
      </c>
      <c r="B4" s="4" t="s">
        <v>8</v>
      </c>
      <c r="C4">
        <v>3584779.5559999999</v>
      </c>
      <c r="D4">
        <v>3568113.9593000002</v>
      </c>
      <c r="E4">
        <v>3511152.2437999998</v>
      </c>
      <c r="F4">
        <v>3542601.8801000002</v>
      </c>
      <c r="G4" s="6">
        <v>3566050.7524999999</v>
      </c>
      <c r="H4" s="6">
        <f>H3-H9</f>
        <v>3549868.5926999999</v>
      </c>
    </row>
    <row r="5" spans="1:8" x14ac:dyDescent="0.3">
      <c r="C5" s="9"/>
      <c r="D5" s="8"/>
      <c r="E5" s="10"/>
      <c r="F5" s="4"/>
      <c r="G5" s="14"/>
      <c r="H5" s="14"/>
    </row>
    <row r="6" spans="1:8" x14ac:dyDescent="0.3">
      <c r="F6" s="4"/>
      <c r="G6" s="17"/>
      <c r="H6" s="18"/>
    </row>
    <row r="7" spans="1:8" x14ac:dyDescent="0.3">
      <c r="B7" s="4" t="s">
        <v>12</v>
      </c>
      <c r="C7" s="1" t="s">
        <v>1</v>
      </c>
      <c r="D7" s="1" t="s">
        <v>2</v>
      </c>
      <c r="E7" s="2" t="s">
        <v>3</v>
      </c>
      <c r="F7" s="2" t="s">
        <v>4</v>
      </c>
      <c r="G7" s="3" t="s">
        <v>5</v>
      </c>
      <c r="H7" s="3" t="s">
        <v>6</v>
      </c>
    </row>
    <row r="8" spans="1:8" x14ac:dyDescent="0.3">
      <c r="A8" s="4" t="s">
        <v>7</v>
      </c>
      <c r="B8" s="4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s="4" t="s">
        <v>10</v>
      </c>
      <c r="B9" s="4" t="s">
        <v>8</v>
      </c>
      <c r="C9">
        <v>0</v>
      </c>
      <c r="D9">
        <v>0</v>
      </c>
      <c r="E9">
        <v>119.3082</v>
      </c>
      <c r="F9" s="6">
        <v>25956.284</v>
      </c>
      <c r="G9">
        <v>536.202</v>
      </c>
      <c r="H9">
        <v>18432</v>
      </c>
    </row>
    <row r="11" spans="1:8" x14ac:dyDescent="0.3">
      <c r="B11" s="4" t="s">
        <v>13</v>
      </c>
      <c r="C11" s="1" t="s">
        <v>1</v>
      </c>
      <c r="D11" s="1" t="s">
        <v>2</v>
      </c>
      <c r="E11" s="2" t="s">
        <v>3</v>
      </c>
      <c r="F11" s="2" t="s">
        <v>4</v>
      </c>
      <c r="G11" s="3" t="s">
        <v>5</v>
      </c>
      <c r="H11" s="3" t="s">
        <v>6</v>
      </c>
    </row>
    <row r="12" spans="1:8" x14ac:dyDescent="0.3">
      <c r="A12" s="4" t="s">
        <v>7</v>
      </c>
      <c r="B12" s="4" t="s">
        <v>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s="4" t="s">
        <v>10</v>
      </c>
      <c r="B13" s="4" t="s">
        <v>8</v>
      </c>
      <c r="C13">
        <v>0</v>
      </c>
      <c r="D13">
        <v>0</v>
      </c>
      <c r="E13">
        <v>0</v>
      </c>
      <c r="F13">
        <v>0</v>
      </c>
      <c r="G13">
        <v>0</v>
      </c>
    </row>
    <row r="15" spans="1:8" x14ac:dyDescent="0.3">
      <c r="B15" s="4" t="s">
        <v>14</v>
      </c>
      <c r="C15" s="1" t="s">
        <v>1</v>
      </c>
      <c r="D15" s="1" t="s">
        <v>2</v>
      </c>
      <c r="E15" s="2" t="s">
        <v>3</v>
      </c>
      <c r="F15" s="2" t="s">
        <v>4</v>
      </c>
      <c r="G15" s="3" t="s">
        <v>5</v>
      </c>
      <c r="H15" s="3" t="s">
        <v>6</v>
      </c>
    </row>
    <row r="16" spans="1:8" x14ac:dyDescent="0.3">
      <c r="A16" s="4" t="s">
        <v>7</v>
      </c>
      <c r="B16" s="4" t="s">
        <v>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s="4" t="s">
        <v>10</v>
      </c>
      <c r="B17" s="4" t="s">
        <v>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35C0-046C-45DC-9F43-179A26DAB00B}">
  <dimension ref="A1:H37"/>
  <sheetViews>
    <sheetView topLeftCell="A15" workbookViewId="0">
      <selection activeCell="H25" sqref="H25"/>
    </sheetView>
  </sheetViews>
  <sheetFormatPr defaultRowHeight="14.4" x14ac:dyDescent="0.3"/>
  <cols>
    <col min="2" max="2" width="19.33203125" bestFit="1" customWidth="1"/>
    <col min="3" max="3" width="22.5546875" bestFit="1" customWidth="1"/>
    <col min="4" max="4" width="32" bestFit="1" customWidth="1"/>
    <col min="6" max="6" width="14.33203125" bestFit="1" customWidth="1"/>
    <col min="8" max="8" width="14.6640625" bestFit="1" customWidth="1"/>
  </cols>
  <sheetData>
    <row r="1" spans="1:8" ht="15.6" x14ac:dyDescent="0.3">
      <c r="A1" s="19" t="s">
        <v>22</v>
      </c>
    </row>
    <row r="2" spans="1:8" x14ac:dyDescent="0.3">
      <c r="B2" s="4" t="s">
        <v>11</v>
      </c>
      <c r="C2" s="1" t="s">
        <v>1</v>
      </c>
      <c r="D2" s="1" t="s">
        <v>2</v>
      </c>
      <c r="E2" s="2" t="s">
        <v>3</v>
      </c>
      <c r="F2" s="2" t="s">
        <v>4</v>
      </c>
      <c r="G2" s="3" t="s">
        <v>5</v>
      </c>
      <c r="H2" s="3" t="s">
        <v>6</v>
      </c>
    </row>
    <row r="3" spans="1:8" x14ac:dyDescent="0.3">
      <c r="A3" s="4" t="s">
        <v>7</v>
      </c>
      <c r="B3" s="4" t="s">
        <v>8</v>
      </c>
      <c r="C3">
        <v>3584979.5559999999</v>
      </c>
      <c r="D3">
        <v>3568413.9593000002</v>
      </c>
      <c r="E3">
        <v>3578440.5907000001</v>
      </c>
      <c r="F3">
        <v>3577440.7544999998</v>
      </c>
      <c r="G3" s="6">
        <v>3567450.7524999999</v>
      </c>
      <c r="H3" s="6">
        <v>3568300.5926999999</v>
      </c>
    </row>
    <row r="4" spans="1:8" x14ac:dyDescent="0.3">
      <c r="A4" s="4" t="s">
        <v>10</v>
      </c>
      <c r="B4" s="4" t="s">
        <v>8</v>
      </c>
      <c r="C4">
        <v>3584779.5559999999</v>
      </c>
      <c r="D4">
        <v>3568113.9593000002</v>
      </c>
      <c r="E4">
        <v>3511152.2437999998</v>
      </c>
      <c r="F4">
        <v>3542601.8801000002</v>
      </c>
      <c r="G4" s="6">
        <v>3566050.7524999999</v>
      </c>
      <c r="H4" s="6">
        <f>H3-H9</f>
        <v>3547557.5926999999</v>
      </c>
    </row>
    <row r="5" spans="1:8" x14ac:dyDescent="0.3">
      <c r="C5" s="9"/>
      <c r="D5" s="8"/>
      <c r="E5" s="10"/>
      <c r="F5" s="4"/>
      <c r="G5" s="14"/>
      <c r="H5" s="14"/>
    </row>
    <row r="6" spans="1:8" x14ac:dyDescent="0.3">
      <c r="F6" s="4"/>
      <c r="G6" s="17"/>
      <c r="H6" s="18"/>
    </row>
    <row r="7" spans="1:8" x14ac:dyDescent="0.3">
      <c r="B7" s="4" t="s">
        <v>12</v>
      </c>
      <c r="C7" s="1" t="s">
        <v>1</v>
      </c>
      <c r="D7" s="1" t="s">
        <v>2</v>
      </c>
      <c r="E7" s="2" t="s">
        <v>3</v>
      </c>
      <c r="F7" s="2" t="s">
        <v>4</v>
      </c>
      <c r="G7" s="3" t="s">
        <v>5</v>
      </c>
      <c r="H7" s="3" t="s">
        <v>6</v>
      </c>
    </row>
    <row r="8" spans="1:8" x14ac:dyDescent="0.3">
      <c r="A8" s="4" t="s">
        <v>7</v>
      </c>
      <c r="B8" s="4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s="4" t="s">
        <v>10</v>
      </c>
      <c r="B9" s="4" t="s">
        <v>8</v>
      </c>
      <c r="C9">
        <v>0</v>
      </c>
      <c r="D9">
        <v>0</v>
      </c>
      <c r="E9">
        <v>317.012</v>
      </c>
      <c r="F9" s="6">
        <v>25956.284</v>
      </c>
      <c r="G9">
        <v>633.20000000000005</v>
      </c>
      <c r="H9">
        <v>20743</v>
      </c>
    </row>
    <row r="11" spans="1:8" x14ac:dyDescent="0.3">
      <c r="B11" s="4" t="s">
        <v>13</v>
      </c>
      <c r="C11" s="1" t="s">
        <v>1</v>
      </c>
      <c r="D11" s="1" t="s">
        <v>2</v>
      </c>
      <c r="E11" s="2" t="s">
        <v>3</v>
      </c>
      <c r="F11" s="2" t="s">
        <v>4</v>
      </c>
      <c r="G11" s="3" t="s">
        <v>5</v>
      </c>
      <c r="H11" s="3" t="s">
        <v>6</v>
      </c>
    </row>
    <row r="12" spans="1:8" x14ac:dyDescent="0.3">
      <c r="A12" s="4" t="s">
        <v>7</v>
      </c>
      <c r="B12" s="4" t="s">
        <v>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s="4" t="s">
        <v>10</v>
      </c>
      <c r="B13" s="4" t="s">
        <v>8</v>
      </c>
      <c r="C13">
        <v>0</v>
      </c>
      <c r="D13">
        <v>0</v>
      </c>
      <c r="E13">
        <v>0</v>
      </c>
      <c r="F13">
        <v>0</v>
      </c>
      <c r="G13">
        <v>0</v>
      </c>
    </row>
    <row r="15" spans="1:8" x14ac:dyDescent="0.3">
      <c r="B15" s="4" t="s">
        <v>14</v>
      </c>
      <c r="C15" s="1" t="s">
        <v>1</v>
      </c>
      <c r="D15" s="1" t="s">
        <v>2</v>
      </c>
      <c r="E15" s="2" t="s">
        <v>3</v>
      </c>
      <c r="F15" s="2" t="s">
        <v>4</v>
      </c>
      <c r="G15" s="3" t="s">
        <v>5</v>
      </c>
      <c r="H15" s="3" t="s">
        <v>6</v>
      </c>
    </row>
    <row r="16" spans="1:8" x14ac:dyDescent="0.3">
      <c r="A16" s="4" t="s">
        <v>7</v>
      </c>
      <c r="B16" s="4" t="s">
        <v>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s="4" t="s">
        <v>10</v>
      </c>
      <c r="B17" s="4" t="s">
        <v>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21" spans="1:8" ht="15.6" x14ac:dyDescent="0.3">
      <c r="A21" s="19" t="s">
        <v>23</v>
      </c>
    </row>
    <row r="22" spans="1:8" x14ac:dyDescent="0.3">
      <c r="B22" s="4" t="s">
        <v>11</v>
      </c>
      <c r="C22" s="1" t="s">
        <v>1</v>
      </c>
      <c r="D22" s="1" t="s">
        <v>2</v>
      </c>
      <c r="E22" s="2" t="s">
        <v>3</v>
      </c>
      <c r="F22" s="2" t="s">
        <v>4</v>
      </c>
      <c r="G22" s="3" t="s">
        <v>5</v>
      </c>
      <c r="H22" s="3" t="s">
        <v>6</v>
      </c>
    </row>
    <row r="23" spans="1:8" x14ac:dyDescent="0.3">
      <c r="A23" s="4" t="s">
        <v>7</v>
      </c>
      <c r="B23" s="4" t="s">
        <v>8</v>
      </c>
      <c r="C23">
        <v>3584979.5559999999</v>
      </c>
      <c r="D23">
        <v>3568413.9593000002</v>
      </c>
      <c r="E23">
        <v>3578440.5907000001</v>
      </c>
      <c r="F23">
        <v>3577440.7544999998</v>
      </c>
      <c r="G23" s="6">
        <v>3567450.7524999999</v>
      </c>
      <c r="H23" s="6">
        <v>3568300.5926999999</v>
      </c>
    </row>
    <row r="24" spans="1:8" x14ac:dyDescent="0.3">
      <c r="A24" s="4" t="s">
        <v>10</v>
      </c>
      <c r="B24" s="4" t="s">
        <v>8</v>
      </c>
      <c r="C24">
        <v>3584779.5559999999</v>
      </c>
      <c r="D24">
        <v>3568113.9593000002</v>
      </c>
      <c r="E24">
        <v>3511152.2437999998</v>
      </c>
      <c r="F24">
        <v>3542601.8801000002</v>
      </c>
      <c r="G24" s="6">
        <v>3566050.7524999999</v>
      </c>
      <c r="H24" s="6">
        <f>H23-H29</f>
        <v>3547289.5926999999</v>
      </c>
    </row>
    <row r="25" spans="1:8" x14ac:dyDescent="0.3">
      <c r="C25" s="9"/>
      <c r="D25" s="8"/>
      <c r="E25" s="10"/>
      <c r="F25" s="4"/>
      <c r="G25" s="14"/>
      <c r="H25" s="14"/>
    </row>
    <row r="26" spans="1:8" x14ac:dyDescent="0.3">
      <c r="F26" s="4"/>
      <c r="G26" s="17"/>
      <c r="H26" s="18"/>
    </row>
    <row r="27" spans="1:8" x14ac:dyDescent="0.3">
      <c r="B27" s="4" t="s">
        <v>12</v>
      </c>
      <c r="C27" s="1" t="s">
        <v>1</v>
      </c>
      <c r="D27" s="1" t="s">
        <v>2</v>
      </c>
      <c r="E27" s="2" t="s">
        <v>3</v>
      </c>
      <c r="F27" s="2" t="s">
        <v>4</v>
      </c>
      <c r="G27" s="3" t="s">
        <v>5</v>
      </c>
      <c r="H27" s="3" t="s">
        <v>6</v>
      </c>
    </row>
    <row r="28" spans="1:8" x14ac:dyDescent="0.3">
      <c r="A28" s="4" t="s">
        <v>7</v>
      </c>
      <c r="B28" s="4" t="s">
        <v>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s="4" t="s">
        <v>10</v>
      </c>
      <c r="B29" s="4" t="s">
        <v>8</v>
      </c>
      <c r="C29">
        <v>0</v>
      </c>
      <c r="D29">
        <v>0</v>
      </c>
      <c r="E29">
        <v>412.30200000000002</v>
      </c>
      <c r="F29" s="6">
        <v>27326.11</v>
      </c>
      <c r="G29">
        <v>332.04</v>
      </c>
      <c r="H29">
        <v>21011</v>
      </c>
    </row>
    <row r="31" spans="1:8" x14ac:dyDescent="0.3">
      <c r="B31" s="4" t="s">
        <v>13</v>
      </c>
      <c r="C31" s="1" t="s">
        <v>1</v>
      </c>
      <c r="D31" s="1" t="s">
        <v>2</v>
      </c>
      <c r="E31" s="2" t="s">
        <v>3</v>
      </c>
      <c r="F31" s="2" t="s">
        <v>4</v>
      </c>
      <c r="G31" s="3" t="s">
        <v>5</v>
      </c>
      <c r="H31" s="3" t="s">
        <v>6</v>
      </c>
    </row>
    <row r="32" spans="1:8" x14ac:dyDescent="0.3">
      <c r="A32" s="4" t="s">
        <v>7</v>
      </c>
      <c r="B32" s="4" t="s">
        <v>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4" t="s">
        <v>10</v>
      </c>
      <c r="B33" s="4" t="s">
        <v>8</v>
      </c>
      <c r="C33">
        <v>0</v>
      </c>
      <c r="D33">
        <v>0</v>
      </c>
      <c r="E33">
        <v>0</v>
      </c>
      <c r="F33">
        <v>0</v>
      </c>
      <c r="G33">
        <v>0</v>
      </c>
    </row>
    <row r="35" spans="1:8" x14ac:dyDescent="0.3">
      <c r="B35" s="4" t="s">
        <v>14</v>
      </c>
      <c r="C35" s="1" t="s">
        <v>1</v>
      </c>
      <c r="D35" s="1" t="s">
        <v>2</v>
      </c>
      <c r="E35" s="2" t="s">
        <v>3</v>
      </c>
      <c r="F35" s="2" t="s">
        <v>4</v>
      </c>
      <c r="G35" s="3" t="s">
        <v>5</v>
      </c>
      <c r="H35" s="3" t="s">
        <v>6</v>
      </c>
    </row>
    <row r="36" spans="1:8" x14ac:dyDescent="0.3">
      <c r="A36" s="4" t="s">
        <v>7</v>
      </c>
      <c r="B36" s="4" t="s">
        <v>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s="4" t="s">
        <v>10</v>
      </c>
      <c r="B37" s="4" t="s">
        <v>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27"/>
  <sheetViews>
    <sheetView workbookViewId="0">
      <selection activeCell="G11" sqref="G11"/>
    </sheetView>
  </sheetViews>
  <sheetFormatPr defaultRowHeight="14.4" x14ac:dyDescent="0.3"/>
  <cols>
    <col min="2" max="2" width="9.6640625" customWidth="1"/>
    <col min="3" max="3" width="20.5546875" bestFit="1" customWidth="1"/>
    <col min="4" max="4" width="24.44140625" bestFit="1" customWidth="1"/>
    <col min="5" max="5" width="35" bestFit="1" customWidth="1"/>
    <col min="6" max="6" width="23.109375" customWidth="1"/>
    <col min="7" max="8" width="15.5546875" bestFit="1" customWidth="1"/>
    <col min="9" max="10" width="15.88671875" bestFit="1" customWidth="1"/>
    <col min="11" max="11" width="8.5546875" bestFit="1" customWidth="1"/>
    <col min="12" max="12" width="32" bestFit="1" customWidth="1"/>
    <col min="13" max="13" width="22.6640625" bestFit="1" customWidth="1"/>
    <col min="14" max="14" width="32.109375" bestFit="1" customWidth="1"/>
    <col min="15" max="15" width="10.5546875" bestFit="1" customWidth="1"/>
    <col min="16" max="16" width="14.77734375" bestFit="1" customWidth="1"/>
    <col min="17" max="17" width="10.5546875" bestFit="1" customWidth="1"/>
    <col min="18" max="18" width="14.77734375" bestFit="1" customWidth="1"/>
  </cols>
  <sheetData>
    <row r="1" spans="2:18" x14ac:dyDescent="0.3">
      <c r="C1" s="4" t="s">
        <v>11</v>
      </c>
      <c r="D1" s="1" t="s">
        <v>1</v>
      </c>
      <c r="E1" s="1" t="s">
        <v>2</v>
      </c>
      <c r="F1" s="2" t="s">
        <v>3</v>
      </c>
      <c r="G1" s="2" t="s">
        <v>4</v>
      </c>
      <c r="H1" s="3" t="s">
        <v>5</v>
      </c>
      <c r="I1" s="3" t="s">
        <v>6</v>
      </c>
      <c r="J1" s="4" t="s">
        <v>15</v>
      </c>
      <c r="M1" s="1" t="s">
        <v>1</v>
      </c>
      <c r="N1" s="1" t="s">
        <v>2</v>
      </c>
      <c r="O1" s="2" t="s">
        <v>3</v>
      </c>
      <c r="P1" s="2" t="s">
        <v>4</v>
      </c>
      <c r="Q1" s="3" t="s">
        <v>5</v>
      </c>
      <c r="R1" s="3" t="s">
        <v>6</v>
      </c>
    </row>
    <row r="2" spans="2:18" x14ac:dyDescent="0.3">
      <c r="B2" s="4" t="s">
        <v>7</v>
      </c>
      <c r="C2" s="4" t="s">
        <v>8</v>
      </c>
      <c r="D2" s="6">
        <v>2876040.8439000002</v>
      </c>
      <c r="E2" s="6">
        <v>2876040.8439000002</v>
      </c>
      <c r="F2" s="6">
        <v>2876040.8439000002</v>
      </c>
      <c r="G2" s="6">
        <v>2876040.8439000002</v>
      </c>
      <c r="H2" s="6">
        <v>2876040.8439000002</v>
      </c>
      <c r="I2" s="6">
        <v>2876040.8439000002</v>
      </c>
      <c r="K2" s="4" t="s">
        <v>11</v>
      </c>
      <c r="L2" s="4" t="s">
        <v>8</v>
      </c>
      <c r="M2" s="6">
        <v>1876040.8439</v>
      </c>
      <c r="N2" s="6">
        <v>1876040.8439</v>
      </c>
      <c r="O2" s="6">
        <v>1876040.8439</v>
      </c>
      <c r="P2" s="6">
        <v>1876040.8439</v>
      </c>
      <c r="Q2" s="6">
        <v>1876040.8439</v>
      </c>
      <c r="R2" s="6">
        <v>1876040.8439</v>
      </c>
    </row>
    <row r="3" spans="2:18" x14ac:dyDescent="0.3">
      <c r="B3" s="4" t="s">
        <v>9</v>
      </c>
      <c r="C3" s="4" t="s">
        <v>8</v>
      </c>
      <c r="D3" s="6">
        <v>2876040.8439000002</v>
      </c>
      <c r="E3" s="6">
        <v>2876040.8439000002</v>
      </c>
      <c r="F3" s="6">
        <v>2876040.8439000002</v>
      </c>
      <c r="G3" s="6">
        <v>2876040.8139</v>
      </c>
      <c r="H3" s="6">
        <v>2876040.8439000002</v>
      </c>
      <c r="I3" s="6">
        <v>2876040.8439000002</v>
      </c>
      <c r="K3" s="4" t="s">
        <v>12</v>
      </c>
      <c r="L3" s="4" t="s">
        <v>8</v>
      </c>
      <c r="M3" s="6">
        <v>13</v>
      </c>
      <c r="N3" s="6">
        <v>12</v>
      </c>
      <c r="O3" s="6">
        <v>1269</v>
      </c>
      <c r="P3" s="6">
        <v>44722.579899999997</v>
      </c>
      <c r="Q3" s="6">
        <v>1420</v>
      </c>
      <c r="R3" s="6">
        <v>40121.872300000003</v>
      </c>
    </row>
    <row r="4" spans="2:18" x14ac:dyDescent="0.3">
      <c r="B4" s="4" t="s">
        <v>10</v>
      </c>
      <c r="C4" s="4" t="s">
        <v>8</v>
      </c>
      <c r="D4" s="6">
        <v>2876040.8439000002</v>
      </c>
      <c r="E4" s="6">
        <v>2876040.8439000002</v>
      </c>
      <c r="F4" s="6">
        <v>2876040.8439000002</v>
      </c>
      <c r="G4" s="6">
        <v>2786020.8439000002</v>
      </c>
      <c r="H4" s="6">
        <v>2876040.8439000002</v>
      </c>
      <c r="I4" s="6">
        <v>2806020.8439000002</v>
      </c>
      <c r="K4" s="4" t="s">
        <v>13</v>
      </c>
      <c r="L4" s="4" t="s">
        <v>8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</row>
    <row r="5" spans="2:18" x14ac:dyDescent="0.3">
      <c r="B5" s="15" t="s">
        <v>15</v>
      </c>
      <c r="C5" s="15" t="s">
        <v>8</v>
      </c>
      <c r="D5" s="12">
        <v>4118268.8783</v>
      </c>
      <c r="E5" s="12">
        <v>4018268.5781999999</v>
      </c>
      <c r="F5" s="12">
        <v>3870708.0528000002</v>
      </c>
      <c r="G5" s="12">
        <v>4100783.9347000001</v>
      </c>
      <c r="H5" s="12">
        <v>4060717.3639000002</v>
      </c>
      <c r="I5" s="12">
        <v>4038851.5748999999</v>
      </c>
      <c r="K5" s="4" t="s">
        <v>14</v>
      </c>
      <c r="L5" s="4" t="s">
        <v>8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</row>
    <row r="6" spans="2:18" x14ac:dyDescent="0.3">
      <c r="D6" s="9" t="s">
        <v>20</v>
      </c>
      <c r="E6" s="8">
        <f>E2/20</f>
        <v>143802.04219500002</v>
      </c>
      <c r="F6" s="10" t="s">
        <v>21</v>
      </c>
      <c r="G6" s="4" t="s">
        <v>7</v>
      </c>
      <c r="H6" s="16">
        <f>H2/E6</f>
        <v>20</v>
      </c>
      <c r="I6" s="16">
        <f>I2/E6</f>
        <v>20</v>
      </c>
    </row>
    <row r="7" spans="2:18" x14ac:dyDescent="0.3">
      <c r="G7" s="4" t="s">
        <v>10</v>
      </c>
      <c r="H7" s="16">
        <f>H4/E6</f>
        <v>20</v>
      </c>
      <c r="I7" s="16">
        <f>I4/E6</f>
        <v>19.513080628541765</v>
      </c>
    </row>
    <row r="8" spans="2:18" x14ac:dyDescent="0.3">
      <c r="C8" s="4" t="s">
        <v>12</v>
      </c>
      <c r="D8" s="1" t="s">
        <v>1</v>
      </c>
      <c r="E8" s="1" t="s">
        <v>2</v>
      </c>
      <c r="F8" s="2" t="s">
        <v>3</v>
      </c>
      <c r="G8" s="2" t="s">
        <v>4</v>
      </c>
      <c r="H8" s="3" t="s">
        <v>5</v>
      </c>
      <c r="I8" s="3" t="s">
        <v>6</v>
      </c>
    </row>
    <row r="9" spans="2:18" x14ac:dyDescent="0.3">
      <c r="B9" s="4" t="s">
        <v>7</v>
      </c>
      <c r="C9" s="4" t="s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2:18" x14ac:dyDescent="0.3">
      <c r="B10" s="4" t="s">
        <v>9</v>
      </c>
      <c r="C10" s="4" t="s">
        <v>8</v>
      </c>
      <c r="D10">
        <v>0</v>
      </c>
      <c r="E10">
        <v>0</v>
      </c>
      <c r="F10">
        <v>0</v>
      </c>
      <c r="G10">
        <v>53438.389300000003</v>
      </c>
      <c r="H10">
        <v>0</v>
      </c>
      <c r="I10">
        <v>42507.434500000003</v>
      </c>
    </row>
    <row r="11" spans="2:18" x14ac:dyDescent="0.3">
      <c r="B11" s="4" t="s">
        <v>10</v>
      </c>
      <c r="C11" s="4" t="s">
        <v>8</v>
      </c>
      <c r="D11">
        <v>0</v>
      </c>
      <c r="E11">
        <v>0</v>
      </c>
      <c r="F11">
        <v>0</v>
      </c>
      <c r="G11" s="6">
        <v>56002.229200000002</v>
      </c>
      <c r="H11">
        <v>0</v>
      </c>
      <c r="I11">
        <v>42072.667500000003</v>
      </c>
    </row>
    <row r="12" spans="2:18" x14ac:dyDescent="0.3">
      <c r="B12" s="4" t="s">
        <v>15</v>
      </c>
      <c r="C12" s="4" t="s">
        <v>8</v>
      </c>
      <c r="D12">
        <v>13399.247499999999</v>
      </c>
      <c r="E12">
        <v>123399.2475</v>
      </c>
      <c r="F12">
        <v>12693.020500000001</v>
      </c>
      <c r="G12">
        <v>44722.579899999997</v>
      </c>
      <c r="H12">
        <v>14202.090099999999</v>
      </c>
      <c r="I12">
        <v>40121.872300000003</v>
      </c>
    </row>
    <row r="15" spans="2:18" x14ac:dyDescent="0.3">
      <c r="C15" s="4" t="s">
        <v>13</v>
      </c>
      <c r="D15" s="1" t="s">
        <v>1</v>
      </c>
      <c r="E15" s="1" t="s">
        <v>2</v>
      </c>
      <c r="F15" s="2" t="s">
        <v>3</v>
      </c>
      <c r="G15" s="2" t="s">
        <v>4</v>
      </c>
      <c r="H15" s="3" t="s">
        <v>5</v>
      </c>
      <c r="I15" s="3" t="s">
        <v>6</v>
      </c>
    </row>
    <row r="16" spans="2:18" x14ac:dyDescent="0.3">
      <c r="B16" s="4" t="s">
        <v>7</v>
      </c>
      <c r="C16" s="4" t="s">
        <v>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2:9" x14ac:dyDescent="0.3">
      <c r="B17" s="4" t="s">
        <v>9</v>
      </c>
      <c r="C17" s="4" t="s">
        <v>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2:9" x14ac:dyDescent="0.3">
      <c r="B18" s="4" t="s">
        <v>10</v>
      </c>
      <c r="C18" s="4" t="s">
        <v>8</v>
      </c>
      <c r="D18">
        <v>0</v>
      </c>
      <c r="E18">
        <v>0</v>
      </c>
      <c r="F18">
        <v>0</v>
      </c>
      <c r="G18">
        <v>0</v>
      </c>
      <c r="H18">
        <v>0</v>
      </c>
      <c r="I18">
        <v>288.05779999999999</v>
      </c>
    </row>
    <row r="19" spans="2:9" x14ac:dyDescent="0.3">
      <c r="B19" s="4" t="s">
        <v>15</v>
      </c>
      <c r="C19" s="4" t="s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3" spans="2:9" x14ac:dyDescent="0.3">
      <c r="C23" s="4" t="s">
        <v>14</v>
      </c>
      <c r="D23" s="1" t="s">
        <v>1</v>
      </c>
      <c r="E23" s="1" t="s">
        <v>2</v>
      </c>
      <c r="F23" s="2" t="s">
        <v>3</v>
      </c>
      <c r="G23" s="2" t="s">
        <v>4</v>
      </c>
      <c r="H23" s="3" t="s">
        <v>5</v>
      </c>
      <c r="I23" s="3" t="s">
        <v>6</v>
      </c>
    </row>
    <row r="24" spans="2:9" x14ac:dyDescent="0.3">
      <c r="B24" s="4" t="s">
        <v>7</v>
      </c>
      <c r="C24" s="4" t="s">
        <v>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2:9" x14ac:dyDescent="0.3">
      <c r="B25" s="4" t="s">
        <v>9</v>
      </c>
      <c r="C25" s="4" t="s">
        <v>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2:9" x14ac:dyDescent="0.3">
      <c r="B26" s="4" t="s">
        <v>10</v>
      </c>
      <c r="C26" s="4" t="s">
        <v>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2:9" x14ac:dyDescent="0.3">
      <c r="B27" s="4" t="s">
        <v>15</v>
      </c>
      <c r="C27" s="4" t="s">
        <v>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24"/>
  <sheetViews>
    <sheetView tabSelected="1" topLeftCell="A4" workbookViewId="0">
      <selection activeCell="G3" sqref="G3"/>
    </sheetView>
  </sheetViews>
  <sheetFormatPr defaultRowHeight="14.4" x14ac:dyDescent="0.3"/>
  <cols>
    <col min="2" max="2" width="20.5546875" bestFit="1" customWidth="1"/>
    <col min="3" max="3" width="19.33203125" bestFit="1" customWidth="1"/>
    <col min="4" max="4" width="24.44140625" bestFit="1" customWidth="1"/>
    <col min="5" max="5" width="35" bestFit="1" customWidth="1"/>
    <col min="6" max="8" width="23.6640625" bestFit="1" customWidth="1"/>
    <col min="9" max="9" width="15.88671875" bestFit="1" customWidth="1"/>
  </cols>
  <sheetData>
    <row r="2" spans="1:9" x14ac:dyDescent="0.3">
      <c r="B2" s="4" t="s">
        <v>11</v>
      </c>
      <c r="C2" s="1"/>
      <c r="D2" s="1" t="s">
        <v>1</v>
      </c>
      <c r="E2" s="1" t="s">
        <v>2</v>
      </c>
      <c r="F2" s="2" t="s">
        <v>3</v>
      </c>
      <c r="G2" s="2" t="s">
        <v>4</v>
      </c>
      <c r="H2" s="3" t="s">
        <v>5</v>
      </c>
      <c r="I2" s="3" t="s">
        <v>6</v>
      </c>
    </row>
    <row r="3" spans="1:9" x14ac:dyDescent="0.3">
      <c r="A3" s="4" t="s">
        <v>7</v>
      </c>
      <c r="B3" s="4" t="s">
        <v>8</v>
      </c>
      <c r="D3" s="6">
        <v>3715696.2107000002</v>
      </c>
      <c r="E3" s="6">
        <v>3724283.8612000002</v>
      </c>
      <c r="F3" s="6">
        <v>3827871.0225999998</v>
      </c>
      <c r="G3" s="6">
        <v>3691949.7938000001</v>
      </c>
      <c r="H3" s="6">
        <v>3714267.2047999999</v>
      </c>
      <c r="I3" s="6">
        <v>3715267.2047999999</v>
      </c>
    </row>
    <row r="4" spans="1:9" x14ac:dyDescent="0.3">
      <c r="A4" s="4" t="s">
        <v>10</v>
      </c>
      <c r="B4" s="4" t="s">
        <v>8</v>
      </c>
      <c r="D4" s="6">
        <v>3715696.2107000002</v>
      </c>
      <c r="E4" s="6">
        <v>3724283.8612000002</v>
      </c>
      <c r="F4" s="6">
        <v>3827871.0225999998</v>
      </c>
      <c r="G4" s="6">
        <v>3691949.7938000001</v>
      </c>
      <c r="H4" s="6">
        <v>3714267.2047999999</v>
      </c>
      <c r="I4" s="6">
        <v>3718569.5048000002</v>
      </c>
    </row>
    <row r="5" spans="1:9" x14ac:dyDescent="0.3">
      <c r="D5" s="9" t="s">
        <v>20</v>
      </c>
      <c r="E5" s="8">
        <f>E3/20</f>
        <v>186214.19306000002</v>
      </c>
      <c r="F5" s="10" t="s">
        <v>21</v>
      </c>
      <c r="G5" s="4" t="s">
        <v>7</v>
      </c>
      <c r="H5" s="14">
        <f>H3/E5</f>
        <v>19.946208953058843</v>
      </c>
      <c r="I5" s="6">
        <f>I3/E5</f>
        <v>19.951579112999752</v>
      </c>
    </row>
    <row r="6" spans="1:9" x14ac:dyDescent="0.3">
      <c r="G6" s="4" t="s">
        <v>10</v>
      </c>
      <c r="H6" s="14">
        <f>H4/E5</f>
        <v>19.946208953058843</v>
      </c>
      <c r="I6" s="6">
        <f>I4/E5</f>
        <v>19.969312992172625</v>
      </c>
    </row>
    <row r="7" spans="1:9" x14ac:dyDescent="0.3">
      <c r="B7" s="4" t="s">
        <v>12</v>
      </c>
      <c r="C7" s="1"/>
      <c r="D7" s="1" t="s">
        <v>1</v>
      </c>
      <c r="E7" s="1" t="s">
        <v>2</v>
      </c>
      <c r="F7" s="2" t="s">
        <v>3</v>
      </c>
      <c r="G7" s="2" t="s">
        <v>4</v>
      </c>
      <c r="H7" s="3" t="s">
        <v>5</v>
      </c>
      <c r="I7" s="3" t="s">
        <v>6</v>
      </c>
    </row>
    <row r="8" spans="1:9" x14ac:dyDescent="0.3">
      <c r="A8" s="4" t="s">
        <v>7</v>
      </c>
      <c r="B8" s="4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s="4" t="s">
        <v>10</v>
      </c>
      <c r="B9" s="4" t="s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1" spans="1:9" x14ac:dyDescent="0.3">
      <c r="B11" s="4" t="s">
        <v>13</v>
      </c>
      <c r="C11" s="1"/>
      <c r="D11" s="1" t="s">
        <v>1</v>
      </c>
      <c r="E11" s="1" t="s">
        <v>2</v>
      </c>
      <c r="F11" s="2" t="s">
        <v>3</v>
      </c>
      <c r="G11" s="2" t="s">
        <v>4</v>
      </c>
      <c r="H11" s="3" t="s">
        <v>5</v>
      </c>
      <c r="I11" s="3" t="s">
        <v>6</v>
      </c>
    </row>
    <row r="12" spans="1:9" x14ac:dyDescent="0.3">
      <c r="A12" s="4" t="s">
        <v>7</v>
      </c>
      <c r="B12" s="4" t="s">
        <v>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 s="4" t="s">
        <v>10</v>
      </c>
      <c r="B13" s="4" t="s">
        <v>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5" spans="1:9" x14ac:dyDescent="0.3">
      <c r="B15" s="4" t="s">
        <v>14</v>
      </c>
      <c r="C15" s="1"/>
      <c r="D15" s="1" t="s">
        <v>1</v>
      </c>
      <c r="E15" s="1" t="s">
        <v>2</v>
      </c>
      <c r="F15" s="2" t="s">
        <v>3</v>
      </c>
      <c r="G15" s="2" t="s">
        <v>4</v>
      </c>
      <c r="H15" s="3" t="s">
        <v>5</v>
      </c>
      <c r="I15" s="3" t="s">
        <v>6</v>
      </c>
    </row>
    <row r="16" spans="1:9" x14ac:dyDescent="0.3">
      <c r="A16" s="4" t="s">
        <v>7</v>
      </c>
      <c r="B16" s="4" t="s">
        <v>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s="4" t="s">
        <v>10</v>
      </c>
      <c r="B17" s="4" t="s">
        <v>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20" spans="1:9" x14ac:dyDescent="0.3">
      <c r="A20" s="4" t="s">
        <v>15</v>
      </c>
      <c r="D20" s="1" t="s">
        <v>1</v>
      </c>
      <c r="E20" s="1" t="s">
        <v>2</v>
      </c>
      <c r="F20" s="2" t="s">
        <v>3</v>
      </c>
      <c r="G20" s="2" t="s">
        <v>4</v>
      </c>
      <c r="H20" s="3" t="s">
        <v>5</v>
      </c>
      <c r="I20" s="3" t="s">
        <v>6</v>
      </c>
    </row>
    <row r="21" spans="1:9" x14ac:dyDescent="0.3">
      <c r="A21" s="4" t="s">
        <v>19</v>
      </c>
      <c r="B21" s="4" t="s">
        <v>11</v>
      </c>
      <c r="C21" s="4" t="s">
        <v>8</v>
      </c>
      <c r="D21" s="6">
        <v>3534317.5926999999</v>
      </c>
      <c r="E21" s="6">
        <v>3534317.5926999999</v>
      </c>
      <c r="F21" s="6">
        <v>3534317.5926999999</v>
      </c>
      <c r="G21" s="6">
        <v>3534316.5126999998</v>
      </c>
      <c r="H21" s="6">
        <v>3534317.5926999999</v>
      </c>
      <c r="I21" s="6">
        <v>3533312.5299</v>
      </c>
    </row>
    <row r="22" spans="1:9" x14ac:dyDescent="0.3">
      <c r="A22" s="4"/>
      <c r="B22" s="4" t="s">
        <v>12</v>
      </c>
      <c r="C22" s="4" t="s">
        <v>8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</row>
    <row r="23" spans="1:9" x14ac:dyDescent="0.3">
      <c r="A23" s="4"/>
      <c r="B23" s="4" t="s">
        <v>13</v>
      </c>
      <c r="C23" s="4" t="s">
        <v>8</v>
      </c>
      <c r="D23" s="6">
        <v>0</v>
      </c>
      <c r="E23" s="6">
        <v>0</v>
      </c>
      <c r="F23" s="6">
        <v>0</v>
      </c>
      <c r="G23">
        <v>0</v>
      </c>
      <c r="H23" s="6">
        <v>0</v>
      </c>
      <c r="I23" s="6">
        <v>0</v>
      </c>
    </row>
    <row r="24" spans="1:9" x14ac:dyDescent="0.3">
      <c r="A24" s="4"/>
      <c r="B24" s="4" t="s">
        <v>14</v>
      </c>
      <c r="C24" s="4" t="s">
        <v>8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V.victoriae</vt:lpstr>
      <vt:lpstr>Ustilago N.</vt:lpstr>
      <vt:lpstr>A. Flavus</vt:lpstr>
      <vt:lpstr>SIT1 yeast</vt:lpstr>
      <vt:lpstr>FRE2</vt:lpstr>
      <vt:lpstr>ARN1 &amp; 2</vt:lpstr>
      <vt:lpstr>Sporobolomyces ruberrimus</vt:lpstr>
      <vt:lpstr>BKM1767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Baars HPLC</dc:creator>
  <cp:lastModifiedBy>Emmanuel Chukwuma</cp:lastModifiedBy>
  <dcterms:created xsi:type="dcterms:W3CDTF">2025-03-24T14:22:38Z</dcterms:created>
  <dcterms:modified xsi:type="dcterms:W3CDTF">2025-05-28T18:56:05Z</dcterms:modified>
</cp:coreProperties>
</file>