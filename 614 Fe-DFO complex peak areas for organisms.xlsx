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"/>
    </mc:Choice>
  </mc:AlternateContent>
  <xr:revisionPtr revIDLastSave="200" documentId="11_38CB41EDFD3D252A682B1F7376C0E71039D77AC0" xr6:coauthVersionLast="47" xr6:coauthVersionMax="47" xr10:uidLastSave="{E659E110-4B1A-4D43-89BC-7C75E0DB5976}"/>
  <bookViews>
    <workbookView xWindow="-108" yWindow="-108" windowWidth="23256" windowHeight="12576" xr2:uid="{00000000-000D-0000-FFFF-FFFF00000000}"/>
  </bookViews>
  <sheets>
    <sheet name="614 m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M13" i="1"/>
  <c r="J13" i="1"/>
  <c r="I13" i="1"/>
  <c r="N12" i="1"/>
  <c r="M12" i="1"/>
  <c r="J12" i="1"/>
  <c r="I12" i="1"/>
  <c r="N11" i="1"/>
  <c r="M11" i="1"/>
  <c r="J11" i="1"/>
  <c r="I11" i="1"/>
  <c r="N10" i="1"/>
  <c r="M10" i="1"/>
  <c r="J10" i="1"/>
  <c r="I10" i="1"/>
  <c r="N9" i="1"/>
  <c r="M9" i="1"/>
  <c r="J9" i="1"/>
  <c r="I9" i="1"/>
  <c r="N8" i="1"/>
  <c r="M8" i="1"/>
  <c r="J8" i="1"/>
  <c r="I8" i="1"/>
  <c r="N7" i="1"/>
  <c r="M7" i="1"/>
  <c r="J7" i="1"/>
  <c r="I7" i="1"/>
  <c r="N6" i="1"/>
  <c r="M6" i="1"/>
  <c r="J6" i="1"/>
  <c r="I6" i="1"/>
  <c r="N5" i="1"/>
  <c r="M5" i="1"/>
  <c r="J5" i="1"/>
  <c r="I5" i="1"/>
  <c r="N4" i="1"/>
  <c r="M4" i="1"/>
  <c r="J4" i="1"/>
  <c r="I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<sst xmlns="http://schemas.openxmlformats.org/spreadsheetml/2006/main" count="34" uniqueCount="21">
  <si>
    <t xml:space="preserve">Abiotic DFOB-Fe </t>
  </si>
  <si>
    <t>Biotic +Fe +Ferrozine</t>
  </si>
  <si>
    <t>Biotic +Fe -Ferrozine</t>
  </si>
  <si>
    <t>T - 0h</t>
  </si>
  <si>
    <t>T - 72h</t>
  </si>
  <si>
    <t>P. biseptata</t>
  </si>
  <si>
    <t>WT Yeast</t>
  </si>
  <si>
    <t>SIT1</t>
  </si>
  <si>
    <t>FRE1</t>
  </si>
  <si>
    <t>V.victoriae</t>
  </si>
  <si>
    <t>S. ruberrimus</t>
  </si>
  <si>
    <t>U. nunavutica</t>
  </si>
  <si>
    <t>A. Flavus 201</t>
  </si>
  <si>
    <t>A. Flavus 278</t>
  </si>
  <si>
    <t>BKM 1767</t>
  </si>
  <si>
    <t>counts*min</t>
  </si>
  <si>
    <t>RF = peak area of standard/ conc. Of standard</t>
  </si>
  <si>
    <t>Estimate sample conc. = peak area of sample/ RF</t>
  </si>
  <si>
    <t>RF</t>
  </si>
  <si>
    <r>
      <rPr>
        <b/>
        <sz val="11"/>
        <color theme="4" tint="-0.249977111117893"/>
        <rFont val="Aptos Narrow"/>
        <family val="2"/>
      </rPr>
      <t>µ</t>
    </r>
    <r>
      <rPr>
        <b/>
        <sz val="11"/>
        <color theme="4" tint="-0.249977111117893"/>
        <rFont val="Calibri"/>
        <family val="2"/>
      </rPr>
      <t>M 0h</t>
    </r>
  </si>
  <si>
    <r>
      <rPr>
        <b/>
        <sz val="11"/>
        <color theme="4" tint="-0.249977111117893"/>
        <rFont val="Aptos Narrow"/>
        <family val="2"/>
      </rPr>
      <t>µ</t>
    </r>
    <r>
      <rPr>
        <b/>
        <sz val="11"/>
        <color theme="4" tint="-0.249977111117893"/>
        <rFont val="Calibri"/>
        <family val="2"/>
      </rPr>
      <t>M 72h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</si>
</sst>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4" tint="-0.249977111117893"/>
      <name val="Calibri"/>
      <family val="2"/>
    </font>
    <font>
      <b/>
      <sz val="11"/>
      <color theme="4" tint="-0.249977111117893"/>
      <name val="Aptos Narrow"/>
      <family val="2"/>
    </font>
    <font>
      <b/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4" fillId="0" borderId="0" xfId="0" applyFont="1"/>
    <xf numFmtId="0" fontId="6" fillId="0" borderId="0" xfId="0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J12" sqref="J12"/>
    </sheetView>
  </sheetViews>
  <sheetFormatPr defaultRowHeight="14.4" x14ac:dyDescent="0.3"/>
  <cols>
    <col min="1" max="1" width="13.77734375" customWidth="1"/>
    <col min="2" max="2" width="21.6640625" bestFit="1" customWidth="1"/>
    <col min="3" max="3" width="11.33203125" bestFit="1" customWidth="1"/>
    <col min="4" max="4" width="19.6640625" bestFit="1" customWidth="1"/>
    <col min="5" max="5" width="14.77734375" customWidth="1"/>
    <col min="7" max="7" width="18.33203125" bestFit="1" customWidth="1"/>
    <col min="8" max="8" width="11.33203125" bestFit="1" customWidth="1"/>
    <col min="11" max="11" width="18" bestFit="1" customWidth="1"/>
    <col min="12" max="12" width="10.44140625" bestFit="1" customWidth="1"/>
  </cols>
  <sheetData>
    <row r="1" spans="1:14" x14ac:dyDescent="0.3">
      <c r="B1" s="1" t="s">
        <v>0</v>
      </c>
      <c r="D1" s="1" t="s">
        <v>16</v>
      </c>
      <c r="G1" s="3" t="s">
        <v>1</v>
      </c>
      <c r="K1" s="2" t="s">
        <v>2</v>
      </c>
    </row>
    <row r="2" spans="1:14" x14ac:dyDescent="0.3">
      <c r="B2" t="s">
        <v>15</v>
      </c>
      <c r="C2" t="s">
        <v>15</v>
      </c>
      <c r="D2" s="5" t="s">
        <v>17</v>
      </c>
      <c r="G2" t="s">
        <v>15</v>
      </c>
      <c r="H2" t="s">
        <v>15</v>
      </c>
      <c r="K2" t="s">
        <v>15</v>
      </c>
      <c r="L2" t="s">
        <v>15</v>
      </c>
    </row>
    <row r="3" spans="1:14" x14ac:dyDescent="0.3">
      <c r="B3" s="1" t="s">
        <v>3</v>
      </c>
      <c r="C3" s="1" t="s">
        <v>4</v>
      </c>
      <c r="D3" s="6" t="s">
        <v>18</v>
      </c>
      <c r="E3" s="8" t="s">
        <v>19</v>
      </c>
      <c r="F3" s="8" t="s">
        <v>20</v>
      </c>
      <c r="G3" s="1" t="s">
        <v>3</v>
      </c>
      <c r="H3" s="1" t="s">
        <v>4</v>
      </c>
      <c r="I3" s="8" t="s">
        <v>19</v>
      </c>
      <c r="J3" s="8" t="s">
        <v>20</v>
      </c>
      <c r="K3" s="1" t="s">
        <v>3</v>
      </c>
      <c r="L3" s="1" t="s">
        <v>4</v>
      </c>
      <c r="M3" s="8" t="s">
        <v>19</v>
      </c>
      <c r="N3" s="8" t="s">
        <v>20</v>
      </c>
    </row>
    <row r="4" spans="1:14" x14ac:dyDescent="0.3">
      <c r="A4" s="1" t="s">
        <v>5</v>
      </c>
      <c r="B4" s="4">
        <v>75016.8505</v>
      </c>
      <c r="C4" s="4">
        <v>75013.8505</v>
      </c>
      <c r="D4" s="7">
        <f>B4/20</f>
        <v>3750.842525</v>
      </c>
      <c r="G4" s="4">
        <v>75016.8505</v>
      </c>
      <c r="H4" s="4">
        <v>5268.5893999999998</v>
      </c>
      <c r="I4" s="9">
        <f>G4/D4</f>
        <v>20</v>
      </c>
      <c r="J4" s="10">
        <f>H4/D4</f>
        <v>1.404641587825658</v>
      </c>
      <c r="K4" s="4">
        <v>75016.8505</v>
      </c>
      <c r="L4" s="4">
        <v>5804.1112000000003</v>
      </c>
      <c r="M4" s="9">
        <f>K4/D4</f>
        <v>20</v>
      </c>
      <c r="N4" s="10">
        <f>L4/D4</f>
        <v>1.5474153237078383</v>
      </c>
    </row>
    <row r="5" spans="1:14" x14ac:dyDescent="0.3">
      <c r="A5" s="1" t="s">
        <v>6</v>
      </c>
      <c r="B5" s="4">
        <v>61696.877999999997</v>
      </c>
      <c r="C5" s="4">
        <v>61686.877999999997</v>
      </c>
      <c r="D5" s="7">
        <f>B5/20</f>
        <v>3084.8438999999998</v>
      </c>
      <c r="G5" s="4">
        <v>61696.877999999997</v>
      </c>
      <c r="H5" s="4">
        <v>38140.092100000002</v>
      </c>
      <c r="I5" s="9">
        <f>G5/D5</f>
        <v>20</v>
      </c>
      <c r="J5" s="10">
        <f>H5/D5</f>
        <v>12.363702455090193</v>
      </c>
      <c r="K5" s="4">
        <v>61696.877999999997</v>
      </c>
      <c r="L5" s="4">
        <v>5916.8293999999996</v>
      </c>
      <c r="M5" s="9">
        <f>K5/D5</f>
        <v>20</v>
      </c>
      <c r="N5" s="10">
        <f>L5/D5</f>
        <v>1.9180320274876794</v>
      </c>
    </row>
    <row r="6" spans="1:14" x14ac:dyDescent="0.3">
      <c r="A6" s="1" t="s">
        <v>7</v>
      </c>
      <c r="B6" s="4">
        <v>61696.877999999997</v>
      </c>
      <c r="C6" s="4">
        <v>61596.877999999997</v>
      </c>
      <c r="D6" s="7">
        <f>B6/20</f>
        <v>3084.8438999999998</v>
      </c>
      <c r="G6" s="4">
        <v>61696.877999999997</v>
      </c>
      <c r="H6" s="4">
        <v>38874.506999999998</v>
      </c>
      <c r="I6" s="9">
        <f>G6/D6</f>
        <v>20</v>
      </c>
      <c r="J6" s="10">
        <f>H6/D6</f>
        <v>12.601774436625464</v>
      </c>
      <c r="K6" s="4">
        <v>61696.877999999997</v>
      </c>
      <c r="L6" s="4">
        <v>52081.248099999997</v>
      </c>
      <c r="M6" s="9">
        <f>K6/D6</f>
        <v>20</v>
      </c>
      <c r="N6" s="10">
        <f>L6/D6</f>
        <v>16.882944417382028</v>
      </c>
    </row>
    <row r="7" spans="1:14" x14ac:dyDescent="0.3">
      <c r="A7" s="1" t="s">
        <v>8</v>
      </c>
      <c r="B7" s="4">
        <v>61696.877999999997</v>
      </c>
      <c r="C7" s="4">
        <v>60666.877999999997</v>
      </c>
      <c r="D7" s="7">
        <f>B7/20</f>
        <v>3084.8438999999998</v>
      </c>
      <c r="G7" s="4">
        <v>61696.877999999997</v>
      </c>
      <c r="H7" s="4">
        <v>13656.334999999999</v>
      </c>
      <c r="I7" s="9">
        <f>G7/D7</f>
        <v>20</v>
      </c>
      <c r="J7" s="10">
        <f>H7/D7</f>
        <v>4.4269128172093248</v>
      </c>
      <c r="K7" s="4">
        <v>61696.877999999997</v>
      </c>
      <c r="L7" s="4">
        <v>34980.800600000002</v>
      </c>
      <c r="M7" s="9">
        <f>K7/D7</f>
        <v>20</v>
      </c>
      <c r="N7" s="10">
        <f>L7/D7</f>
        <v>11.339569110774132</v>
      </c>
    </row>
    <row r="8" spans="1:14" x14ac:dyDescent="0.3">
      <c r="A8" s="1" t="s">
        <v>9</v>
      </c>
      <c r="B8" s="4">
        <v>125514.5772</v>
      </c>
      <c r="C8" s="4">
        <v>125514.5772</v>
      </c>
      <c r="D8" s="7">
        <f>B8/20</f>
        <v>6275.7288600000002</v>
      </c>
      <c r="G8" s="4">
        <v>125214.5772</v>
      </c>
      <c r="H8" s="4">
        <v>26565.548599999998</v>
      </c>
      <c r="I8" s="10">
        <f>G8/D8</f>
        <v>19.952196787545724</v>
      </c>
      <c r="J8" s="10">
        <f>H8/D8</f>
        <v>4.2330618789671544</v>
      </c>
      <c r="K8" s="4">
        <v>125214.5772</v>
      </c>
      <c r="L8" s="4">
        <v>11274.1672</v>
      </c>
      <c r="M8" s="10">
        <f>K8/D8</f>
        <v>19.952196787545724</v>
      </c>
      <c r="N8" s="10">
        <f>L8/D8</f>
        <v>1.7964713663553653</v>
      </c>
    </row>
    <row r="9" spans="1:14" x14ac:dyDescent="0.3">
      <c r="A9" s="1" t="s">
        <v>10</v>
      </c>
      <c r="B9" s="4">
        <v>138431.42939999999</v>
      </c>
      <c r="C9" s="4">
        <v>138431.42939999999</v>
      </c>
      <c r="D9" s="7">
        <f>B9/20</f>
        <v>6921.5714699999999</v>
      </c>
      <c r="G9" s="4">
        <v>138431.42939999999</v>
      </c>
      <c r="H9" s="4">
        <v>3288.8986</v>
      </c>
      <c r="I9" s="9">
        <f>G9/D9</f>
        <v>20</v>
      </c>
      <c r="J9" s="10">
        <f>H9/D9</f>
        <v>0.47516645811648323</v>
      </c>
      <c r="K9" s="4">
        <v>138431.42939999999</v>
      </c>
      <c r="L9" s="4">
        <v>13813.2757</v>
      </c>
      <c r="M9" s="9">
        <f>K9/D9</f>
        <v>20</v>
      </c>
      <c r="N9" s="10">
        <f>L9/D9</f>
        <v>1.9956849047749556</v>
      </c>
    </row>
    <row r="10" spans="1:14" x14ac:dyDescent="0.3">
      <c r="A10" s="1" t="s">
        <v>11</v>
      </c>
      <c r="B10" s="4">
        <v>125514.5772</v>
      </c>
      <c r="C10" s="4">
        <v>125514.5772</v>
      </c>
      <c r="D10" s="7">
        <f>B10/20</f>
        <v>6275.7288600000002</v>
      </c>
      <c r="G10" s="4">
        <v>125514.5772</v>
      </c>
      <c r="H10" s="4">
        <v>13680.414699999999</v>
      </c>
      <c r="I10" s="9">
        <f>G10/D10</f>
        <v>20</v>
      </c>
      <c r="J10" s="10">
        <f>H10/D10</f>
        <v>2.1798925678889192</v>
      </c>
      <c r="K10" s="4">
        <v>125514.5772</v>
      </c>
      <c r="L10" s="4">
        <v>14903.607</v>
      </c>
      <c r="M10" s="9">
        <f>K10/D10</f>
        <v>20</v>
      </c>
      <c r="N10" s="10">
        <f>L10/D10</f>
        <v>2.3748009725200268</v>
      </c>
    </row>
    <row r="11" spans="1:14" x14ac:dyDescent="0.3">
      <c r="A11" s="1" t="s">
        <v>12</v>
      </c>
      <c r="B11" s="4">
        <v>118922.62179999999</v>
      </c>
      <c r="C11" s="4">
        <v>118922.62179999999</v>
      </c>
      <c r="D11" s="7">
        <f>B11/20</f>
        <v>5946.1310899999999</v>
      </c>
      <c r="G11" s="4">
        <v>118922.62179999999</v>
      </c>
      <c r="H11" s="4">
        <v>11990.035099999999</v>
      </c>
      <c r="I11" s="9">
        <f>G11/D11</f>
        <v>20</v>
      </c>
      <c r="J11" s="10">
        <f>H11/D11</f>
        <v>2.0164431154510587</v>
      </c>
      <c r="K11" s="4">
        <v>118922.62179999999</v>
      </c>
      <c r="L11" s="4">
        <v>13859.5579</v>
      </c>
      <c r="M11" s="9">
        <f>K11/D11</f>
        <v>20</v>
      </c>
      <c r="N11" s="10">
        <f>L11/D11</f>
        <v>2.3308530690331617</v>
      </c>
    </row>
    <row r="12" spans="1:14" x14ac:dyDescent="0.3">
      <c r="A12" s="1" t="s">
        <v>13</v>
      </c>
      <c r="B12" s="4">
        <v>118922.62179999999</v>
      </c>
      <c r="C12" s="4">
        <v>118922.62179999999</v>
      </c>
      <c r="D12" s="7">
        <f>B12/20</f>
        <v>5946.1310899999999</v>
      </c>
      <c r="G12" s="4">
        <v>118922.62179999999</v>
      </c>
      <c r="H12" s="4">
        <v>14333.434999999999</v>
      </c>
      <c r="I12" s="9">
        <f>G12/D12</f>
        <v>20</v>
      </c>
      <c r="J12" s="10">
        <f>H12/D12</f>
        <v>2.4105480997728894</v>
      </c>
      <c r="K12" s="4">
        <v>118922.62179999999</v>
      </c>
      <c r="L12" s="4">
        <v>17225.106</v>
      </c>
      <c r="M12" s="9">
        <f>K12/D12</f>
        <v>20</v>
      </c>
      <c r="N12" s="10">
        <f>L12/D12</f>
        <v>2.8968594434402219</v>
      </c>
    </row>
    <row r="13" spans="1:14" x14ac:dyDescent="0.3">
      <c r="A13" s="1" t="s">
        <v>14</v>
      </c>
      <c r="B13" s="4">
        <v>125514.5772</v>
      </c>
      <c r="C13" s="4">
        <v>125514.5772</v>
      </c>
      <c r="D13" s="7">
        <f>B13/20</f>
        <v>6275.7288600000002</v>
      </c>
      <c r="G13" s="4">
        <v>125514.5772</v>
      </c>
      <c r="H13" s="4">
        <v>122463.84480000001</v>
      </c>
      <c r="I13" s="9">
        <f>G13/D13</f>
        <v>20</v>
      </c>
      <c r="J13" s="10">
        <f>H13/D13</f>
        <v>19.513883969805541</v>
      </c>
      <c r="K13" s="4">
        <v>125514.5772</v>
      </c>
      <c r="L13" s="4">
        <v>123415.52959999999</v>
      </c>
      <c r="M13" s="9">
        <f>K13/D13</f>
        <v>20</v>
      </c>
      <c r="N13" s="10">
        <f>L13/D13</f>
        <v>19.665529272085216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614 mz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Baars HPLC</dc:creator>
  <cp:lastModifiedBy>Emmanuel Chukwuma</cp:lastModifiedBy>
  <dcterms:created xsi:type="dcterms:W3CDTF">2025-04-30T20:28:29Z</dcterms:created>
  <dcterms:modified xsi:type="dcterms:W3CDTF">2025-05-01T03:17:55Z</dcterms:modified>
</cp:coreProperties>
</file>