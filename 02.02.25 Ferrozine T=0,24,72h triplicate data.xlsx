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itncsu-my.sharepoint.com/personal/cchukwu_ncsu_edu/Documents/Desktop/"/>
    </mc:Choice>
  </mc:AlternateContent>
  <xr:revisionPtr revIDLastSave="73" documentId="13_ncr:1_{8377D105-63FD-444F-9F22-666C94524630}" xr6:coauthVersionLast="47" xr6:coauthVersionMax="47" xr10:uidLastSave="{07E47FC8-98CD-4F9B-88FF-6F230A76C7A2}"/>
  <bookViews>
    <workbookView xWindow="-108" yWindow="-108" windowWidth="23256" windowHeight="12576" xr2:uid="{6DF75773-3F6E-4E6B-91BC-C51FCAB2A461}"/>
  </bookViews>
  <sheets>
    <sheet name="0h,24,72h" sheetId="1" r:id="rId1"/>
    <sheet name="425 n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K18" i="1" s="1"/>
  <c r="M18" i="1"/>
  <c r="L18" i="1"/>
  <c r="F26" i="1"/>
  <c r="F17" i="1"/>
  <c r="F16" i="1"/>
  <c r="C25" i="1"/>
  <c r="D25" i="1"/>
  <c r="F25" i="1"/>
  <c r="E25" i="1"/>
  <c r="G25" i="1"/>
  <c r="B25" i="1"/>
  <c r="C16" i="1"/>
  <c r="D16" i="1"/>
  <c r="E16" i="1"/>
  <c r="G16" i="1"/>
  <c r="B16" i="1"/>
  <c r="C6" i="1"/>
  <c r="D6" i="1"/>
  <c r="E6" i="1"/>
  <c r="G6" i="1"/>
  <c r="B6" i="1"/>
</calcChain>
</file>

<file path=xl/sharedStrings.xml><?xml version="1.0" encoding="utf-8"?>
<sst xmlns="http://schemas.openxmlformats.org/spreadsheetml/2006/main" count="75" uniqueCount="25">
  <si>
    <t>DFOB + ferrozine</t>
  </si>
  <si>
    <t>Wavelength (nm)</t>
  </si>
  <si>
    <t>Absorbance</t>
  </si>
  <si>
    <t>DFOB-Fe complex + ferrozine</t>
  </si>
  <si>
    <t>(-Fe) biotic</t>
  </si>
  <si>
    <t>(+Fe) biotic</t>
  </si>
  <si>
    <t>(-Fe -DFOB) biotic</t>
  </si>
  <si>
    <t>(+Fe -DFOB) biotic</t>
  </si>
  <si>
    <t>T - 0h</t>
  </si>
  <si>
    <t>T - 24h</t>
  </si>
  <si>
    <t>T - 72h</t>
  </si>
  <si>
    <t xml:space="preserve">Molar absorptivity = </t>
  </si>
  <si>
    <t>Stookey, L.L., 1970. Ferrozine---a new spectrophotometric reagent for iron. Analytical chemistry, 42(7), pp.779-781.</t>
  </si>
  <si>
    <t>Concentration (C) = Absorbance (A) / (Extinction Coefficient (ε) x Path Length (L)); where the path length is usually 1cm, so the simplified formula becomes C = A / ε. </t>
  </si>
  <si>
    <t xml:space="preserve">C = </t>
  </si>
  <si>
    <t>Average =</t>
  </si>
  <si>
    <t xml:space="preserve">Average = </t>
  </si>
  <si>
    <t xml:space="preserve">The extinction coefficient value of 2460 M⁻¹ cm⁻¹ is specifically for the DFOB complex at a wavelength of 425 nanometers </t>
  </si>
  <si>
    <t>425nm</t>
  </si>
  <si>
    <t>A = ε * c * l</t>
  </si>
  <si>
    <t>Dilute 5folds and measure</t>
  </si>
  <si>
    <t>(+Fe +Ferrozine) biotic</t>
  </si>
  <si>
    <t xml:space="preserve">c = </t>
  </si>
  <si>
    <t>M</t>
  </si>
  <si>
    <t>µM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</si>
</sst>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.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1D35"/>
      <name val="Arial"/>
      <family val="2"/>
    </font>
    <font>
      <b/>
      <sz val="11"/>
      <color rgb="FF545D7E"/>
      <name val="Aptos Narrow"/>
      <family val="2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22" fontId="0" fillId="0" borderId="0" xfId="0" applyNumberFormat="1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2" fontId="0" fillId="0" borderId="0" xfId="0" applyNumberFormat="1"/>
    <xf numFmtId="2" fontId="1" fillId="0" borderId="0" xfId="0" applyNumberFormat="1" applyFont="1"/>
    <xf numFmtId="0" fontId="2" fillId="0" borderId="0" xfId="0" applyFont="1"/>
    <xf numFmtId="1" fontId="0" fillId="0" borderId="0" xfId="0" applyNumberFormat="1"/>
    <xf numFmtId="0" fontId="3" fillId="0" borderId="0" xfId="0" applyFont="1"/>
    <xf numFmtId="0" fontId="4" fillId="0" borderId="0" xfId="0" applyFont="1"/>
    <xf numFmtId="0" fontId="1" fillId="5" borderId="0" xfId="0" applyFont="1" applyFill="1"/>
    <xf numFmtId="0" fontId="1" fillId="4" borderId="0" xfId="0" applyFont="1" applyFill="1"/>
    <xf numFmtId="167" fontId="1" fillId="5" borderId="0" xfId="0" applyNumberFormat="1" applyFont="1" applyFill="1"/>
    <xf numFmtId="0" fontId="5" fillId="0" borderId="0" xfId="0" applyFont="1"/>
    <xf numFmtId="1" fontId="1" fillId="0" borderId="0" xfId="0" applyNumberFormat="1" applyFont="1"/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115D1-BE9C-48FB-9152-07082F5F4AFD}">
  <dimension ref="A1:N28"/>
  <sheetViews>
    <sheetView tabSelected="1" workbookViewId="0">
      <selection activeCell="K21" sqref="K21"/>
    </sheetView>
  </sheetViews>
  <sheetFormatPr defaultRowHeight="14.4" x14ac:dyDescent="0.3"/>
  <cols>
    <col min="1" max="2" width="14.5546875" bestFit="1" customWidth="1"/>
    <col min="3" max="3" width="24.5546875" bestFit="1" customWidth="1"/>
    <col min="4" max="4" width="14.44140625" bestFit="1" customWidth="1"/>
    <col min="5" max="5" width="15.33203125" bestFit="1" customWidth="1"/>
    <col min="6" max="6" width="19" bestFit="1" customWidth="1"/>
    <col min="7" max="7" width="15.33203125" bestFit="1" customWidth="1"/>
    <col min="9" max="9" width="21.33203125" customWidth="1"/>
    <col min="10" max="10" width="19.88671875" bestFit="1" customWidth="1"/>
    <col min="11" max="12" width="12" bestFit="1" customWidth="1"/>
    <col min="13" max="13" width="10.6640625" bestFit="1" customWidth="1"/>
  </cols>
  <sheetData>
    <row r="1" spans="1:13" x14ac:dyDescent="0.3">
      <c r="A1" s="2" t="s">
        <v>8</v>
      </c>
      <c r="B1" s="4" t="s">
        <v>0</v>
      </c>
      <c r="C1" s="4" t="s">
        <v>3</v>
      </c>
      <c r="D1" s="3" t="s">
        <v>4</v>
      </c>
      <c r="E1" s="3" t="s">
        <v>6</v>
      </c>
      <c r="F1" s="5" t="s">
        <v>21</v>
      </c>
      <c r="G1" s="5" t="s">
        <v>7</v>
      </c>
    </row>
    <row r="2" spans="1:13" x14ac:dyDescent="0.3">
      <c r="B2" s="1">
        <v>45687.835185185184</v>
      </c>
      <c r="C2" s="1">
        <v>45687.835462962961</v>
      </c>
      <c r="D2" s="1">
        <v>45687.846388888887</v>
      </c>
      <c r="E2" s="1">
        <v>45687.848738425928</v>
      </c>
      <c r="F2" s="1">
        <v>45687.846967592595</v>
      </c>
      <c r="G2" s="1">
        <v>45687.848993055559</v>
      </c>
    </row>
    <row r="3" spans="1:13" x14ac:dyDescent="0.3">
      <c r="A3" t="s">
        <v>1</v>
      </c>
      <c r="B3" t="s">
        <v>2</v>
      </c>
      <c r="C3" t="s">
        <v>2</v>
      </c>
      <c r="D3" t="s">
        <v>2</v>
      </c>
      <c r="E3" t="s">
        <v>2</v>
      </c>
      <c r="F3" t="s">
        <v>2</v>
      </c>
      <c r="G3" t="s">
        <v>2</v>
      </c>
    </row>
    <row r="4" spans="1:13" x14ac:dyDescent="0.3">
      <c r="A4">
        <v>562</v>
      </c>
      <c r="B4" s="6">
        <v>3.4489999999999998E-3</v>
      </c>
      <c r="C4" s="6">
        <v>1.3769E-2</v>
      </c>
      <c r="D4" s="6">
        <v>2.3088000000000001E-2</v>
      </c>
      <c r="E4" s="6">
        <v>4.5587999999999997E-2</v>
      </c>
      <c r="F4" s="6">
        <v>4.1558000000000003E-3</v>
      </c>
      <c r="G4" s="6">
        <v>2.6842000000000001E-2</v>
      </c>
    </row>
    <row r="5" spans="1:13" x14ac:dyDescent="0.3">
      <c r="B5" s="6">
        <v>3.2940000000000001E-3</v>
      </c>
      <c r="C5" s="6">
        <v>1.3916E-2</v>
      </c>
      <c r="D5" s="6">
        <v>2.2244E-2</v>
      </c>
      <c r="E5" s="6">
        <v>4.6600000000000003E-2</v>
      </c>
      <c r="F5" s="6">
        <v>4.1621999999999996E-3</v>
      </c>
      <c r="G5" s="6">
        <v>2.6936000000000002E-2</v>
      </c>
    </row>
    <row r="6" spans="1:13" x14ac:dyDescent="0.3">
      <c r="A6" s="2" t="s">
        <v>15</v>
      </c>
      <c r="B6" s="7">
        <f>AVERAGE(B4:B5)</f>
        <v>3.3714999999999999E-3</v>
      </c>
      <c r="C6" s="7">
        <f t="shared" ref="C6:D6" si="0">AVERAGE(C4:C5)</f>
        <v>1.3842500000000001E-2</v>
      </c>
      <c r="D6" s="7">
        <f t="shared" si="0"/>
        <v>2.2665999999999999E-2</v>
      </c>
      <c r="E6" s="7">
        <f>AVERAGE(E4:E5)</f>
        <v>4.6093999999999996E-2</v>
      </c>
      <c r="F6" s="7">
        <f>AVERAGE(F4:F5)</f>
        <v>4.1589999999999995E-3</v>
      </c>
      <c r="G6" s="7">
        <f>AVERAGE(G4:G5)</f>
        <v>2.6889000000000003E-2</v>
      </c>
      <c r="I6" t="s">
        <v>12</v>
      </c>
    </row>
    <row r="7" spans="1:13" x14ac:dyDescent="0.3">
      <c r="E7" t="s">
        <v>14</v>
      </c>
      <c r="I7" s="2" t="s">
        <v>11</v>
      </c>
      <c r="J7">
        <v>27900</v>
      </c>
    </row>
    <row r="8" spans="1:13" x14ac:dyDescent="0.3">
      <c r="D8" s="2"/>
      <c r="F8" s="16"/>
    </row>
    <row r="9" spans="1:13" x14ac:dyDescent="0.3">
      <c r="F9" s="9"/>
      <c r="I9" s="8" t="s">
        <v>13</v>
      </c>
    </row>
    <row r="11" spans="1:13" x14ac:dyDescent="0.3">
      <c r="A11" s="2" t="s">
        <v>9</v>
      </c>
      <c r="B11" s="4" t="s">
        <v>0</v>
      </c>
      <c r="C11" s="4" t="s">
        <v>3</v>
      </c>
      <c r="D11" s="3" t="s">
        <v>4</v>
      </c>
      <c r="E11" s="3" t="s">
        <v>6</v>
      </c>
      <c r="F11" s="5" t="s">
        <v>21</v>
      </c>
      <c r="G11" s="5" t="s">
        <v>7</v>
      </c>
      <c r="I11" t="s">
        <v>17</v>
      </c>
    </row>
    <row r="12" spans="1:13" x14ac:dyDescent="0.3">
      <c r="A12" t="s">
        <v>1</v>
      </c>
      <c r="B12" s="1">
        <v>45688.803136574075</v>
      </c>
      <c r="C12" s="1">
        <v>45688.803518518522</v>
      </c>
      <c r="D12" s="1">
        <v>45688.817974537036</v>
      </c>
      <c r="E12" s="1">
        <v>45688.818749999999</v>
      </c>
      <c r="F12" s="1">
        <v>45688.818437499998</v>
      </c>
      <c r="G12" s="1">
        <v>45688.819143518522</v>
      </c>
    </row>
    <row r="13" spans="1:13" x14ac:dyDescent="0.3">
      <c r="A13">
        <v>562</v>
      </c>
      <c r="B13" t="s">
        <v>2</v>
      </c>
      <c r="C13" t="s">
        <v>2</v>
      </c>
      <c r="D13" t="s">
        <v>2</v>
      </c>
      <c r="E13" t="s">
        <v>2</v>
      </c>
      <c r="F13" t="s">
        <v>2</v>
      </c>
      <c r="G13" t="s">
        <v>2</v>
      </c>
      <c r="I13" s="10" t="s">
        <v>19</v>
      </c>
    </row>
    <row r="14" spans="1:13" x14ac:dyDescent="0.3">
      <c r="B14" s="6">
        <v>3.5000000000000001E-3</v>
      </c>
      <c r="C14" s="6">
        <v>1.2800000000000001E-2</v>
      </c>
      <c r="D14" s="6">
        <v>4.3658000000000002E-2</v>
      </c>
      <c r="E14" s="6">
        <v>5.8161999999999998E-2</v>
      </c>
      <c r="F14" s="7">
        <v>0.97681499999999999</v>
      </c>
      <c r="G14" s="7">
        <v>0.64228200000000002</v>
      </c>
    </row>
    <row r="15" spans="1:13" x14ac:dyDescent="0.3">
      <c r="B15" s="6">
        <v>3.2910000000000001E-3</v>
      </c>
      <c r="C15" s="6">
        <v>1.2906000000000001E-2</v>
      </c>
      <c r="D15" s="6">
        <v>4.3621E-2</v>
      </c>
      <c r="E15" s="6">
        <v>5.8319000000000003E-2</v>
      </c>
      <c r="F15" s="7">
        <v>0.97698700000000005</v>
      </c>
      <c r="G15" s="7">
        <v>0.64235600000000004</v>
      </c>
    </row>
    <row r="16" spans="1:13" x14ac:dyDescent="0.3">
      <c r="A16" s="2" t="s">
        <v>16</v>
      </c>
      <c r="B16" s="7">
        <f>AVERAGE(B14:B15)</f>
        <v>3.3955000000000001E-3</v>
      </c>
      <c r="C16" s="7">
        <f t="shared" ref="C16:D16" si="1">AVERAGE(C14:C15)</f>
        <v>1.2853E-2</v>
      </c>
      <c r="D16" s="7">
        <f t="shared" si="1"/>
        <v>4.3639499999999998E-2</v>
      </c>
      <c r="E16" s="7">
        <f>AVERAGE(E14:E15)</f>
        <v>5.8240500000000001E-2</v>
      </c>
      <c r="F16" s="7">
        <f>AVERAGE(F14:F15)</f>
        <v>0.97690100000000002</v>
      </c>
      <c r="G16" s="7">
        <f>AVERAGE(G14:G15)</f>
        <v>0.64231900000000008</v>
      </c>
      <c r="J16" s="13" t="s">
        <v>21</v>
      </c>
      <c r="K16" s="2" t="s">
        <v>8</v>
      </c>
      <c r="L16" s="2" t="s">
        <v>9</v>
      </c>
      <c r="M16" s="2" t="s">
        <v>10</v>
      </c>
    </row>
    <row r="17" spans="1:14" x14ac:dyDescent="0.3">
      <c r="E17" t="s">
        <v>14</v>
      </c>
      <c r="F17">
        <f>F16/J7*1</f>
        <v>3.5014372759856633E-5</v>
      </c>
      <c r="I17" s="11" t="s">
        <v>20</v>
      </c>
      <c r="J17" s="12">
        <v>562</v>
      </c>
      <c r="K17" s="17">
        <v>4.1589999999999995E-3</v>
      </c>
      <c r="L17" s="14">
        <v>0.444994</v>
      </c>
      <c r="M17" s="14">
        <v>0.63730299999999995</v>
      </c>
      <c r="N17" s="2" t="s">
        <v>2</v>
      </c>
    </row>
    <row r="18" spans="1:14" x14ac:dyDescent="0.3">
      <c r="D18" s="2"/>
      <c r="J18" s="2" t="s">
        <v>22</v>
      </c>
      <c r="K18">
        <f>F6/J7*1</f>
        <v>1.4906810035842293E-7</v>
      </c>
      <c r="L18">
        <f>L17/J7*1</f>
        <v>1.5949605734767025E-5</v>
      </c>
      <c r="M18">
        <f>M17/J7*1</f>
        <v>2.2842401433691754E-5</v>
      </c>
      <c r="N18" s="2" t="s">
        <v>23</v>
      </c>
    </row>
    <row r="19" spans="1:14" x14ac:dyDescent="0.3">
      <c r="F19" s="9"/>
      <c r="K19" s="16">
        <v>0.14906800000000001</v>
      </c>
      <c r="L19" s="16">
        <v>15.9496</v>
      </c>
      <c r="M19" s="16">
        <v>22.842400000000001</v>
      </c>
      <c r="N19" s="15" t="s">
        <v>24</v>
      </c>
    </row>
    <row r="20" spans="1:14" x14ac:dyDescent="0.3">
      <c r="A20" s="2" t="s">
        <v>10</v>
      </c>
      <c r="B20" s="4" t="s">
        <v>0</v>
      </c>
      <c r="C20" s="4" t="s">
        <v>3</v>
      </c>
      <c r="D20" s="3" t="s">
        <v>4</v>
      </c>
      <c r="E20" s="3" t="s">
        <v>6</v>
      </c>
      <c r="F20" s="5" t="s">
        <v>21</v>
      </c>
      <c r="G20" s="5" t="s">
        <v>7</v>
      </c>
    </row>
    <row r="21" spans="1:14" x14ac:dyDescent="0.3">
      <c r="A21" t="s">
        <v>1</v>
      </c>
      <c r="B21" s="1">
        <v>45690.787569444445</v>
      </c>
      <c r="C21" s="1">
        <v>45690.787986111114</v>
      </c>
      <c r="D21" s="1">
        <v>45690.788287037038</v>
      </c>
      <c r="E21" s="1">
        <v>45690.789050925923</v>
      </c>
      <c r="F21" s="1">
        <v>45690.788657407407</v>
      </c>
      <c r="G21" s="1">
        <v>45690.789340277777</v>
      </c>
    </row>
    <row r="22" spans="1:14" x14ac:dyDescent="0.3">
      <c r="A22">
        <v>562</v>
      </c>
      <c r="B22" t="s">
        <v>2</v>
      </c>
      <c r="C22" t="s">
        <v>2</v>
      </c>
      <c r="D22" t="s">
        <v>2</v>
      </c>
      <c r="E22" t="s">
        <v>2</v>
      </c>
      <c r="F22" t="s">
        <v>2</v>
      </c>
      <c r="G22" t="s">
        <v>2</v>
      </c>
    </row>
    <row r="23" spans="1:14" x14ac:dyDescent="0.3">
      <c r="B23" s="6">
        <v>1.2130000000000001E-3</v>
      </c>
      <c r="C23" s="6">
        <v>1.2800000000000001E-2</v>
      </c>
      <c r="D23" s="6">
        <v>6.9903000000000007E-2</v>
      </c>
      <c r="E23" s="6">
        <v>8.7376999999999996E-2</v>
      </c>
      <c r="F23" s="7">
        <v>1.281204</v>
      </c>
      <c r="G23" s="7">
        <v>1.04321</v>
      </c>
    </row>
    <row r="24" spans="1:14" x14ac:dyDescent="0.3">
      <c r="B24" s="6">
        <v>1.0839999999999999E-3</v>
      </c>
      <c r="C24" s="6">
        <v>1.3916E-2</v>
      </c>
      <c r="D24" s="6">
        <v>7.0327000000000001E-2</v>
      </c>
      <c r="E24" s="6">
        <v>8.7393999999999999E-2</v>
      </c>
      <c r="F24" s="7">
        <v>1.287426</v>
      </c>
      <c r="G24" s="7">
        <v>1.0408139999999999</v>
      </c>
    </row>
    <row r="25" spans="1:14" x14ac:dyDescent="0.3">
      <c r="A25" s="2" t="s">
        <v>16</v>
      </c>
      <c r="B25" s="7">
        <f>AVERAGE(B23:B24)</f>
        <v>1.1485E-3</v>
      </c>
      <c r="C25" s="7">
        <f t="shared" ref="C25:D25" si="2">AVERAGE(C23:C24)</f>
        <v>1.3358E-2</v>
      </c>
      <c r="D25" s="7">
        <f t="shared" si="2"/>
        <v>7.0115000000000011E-2</v>
      </c>
      <c r="E25" s="7">
        <f>AVERAGE(E23:E24)</f>
        <v>8.7385500000000005E-2</v>
      </c>
      <c r="F25" s="7">
        <f>AVERAGE(F23:F24)</f>
        <v>1.2843149999999999</v>
      </c>
      <c r="G25" s="7">
        <f>AVERAGE(G23:G24)</f>
        <v>1.0420119999999999</v>
      </c>
    </row>
    <row r="26" spans="1:14" x14ac:dyDescent="0.3">
      <c r="E26" t="s">
        <v>14</v>
      </c>
      <c r="F26">
        <f>F25/J7*1</f>
        <v>4.6032795698924727E-5</v>
      </c>
    </row>
    <row r="27" spans="1:14" x14ac:dyDescent="0.3">
      <c r="D27" s="2"/>
    </row>
    <row r="28" spans="1:14" x14ac:dyDescent="0.3">
      <c r="F28" s="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7D580-D5E1-465F-9F15-A940D4EDF1FC}">
  <dimension ref="A1:E7"/>
  <sheetViews>
    <sheetView workbookViewId="0">
      <selection activeCell="B23" sqref="B23"/>
    </sheetView>
  </sheetViews>
  <sheetFormatPr defaultRowHeight="14.4" x14ac:dyDescent="0.3"/>
  <cols>
    <col min="2" max="2" width="24.5546875" bestFit="1" customWidth="1"/>
    <col min="3" max="3" width="10.6640625" bestFit="1" customWidth="1"/>
  </cols>
  <sheetData>
    <row r="1" spans="1:5" x14ac:dyDescent="0.3">
      <c r="A1" s="2" t="s">
        <v>8</v>
      </c>
      <c r="B1" s="4" t="s">
        <v>3</v>
      </c>
      <c r="C1" s="5" t="s">
        <v>5</v>
      </c>
    </row>
    <row r="2" spans="1:5" x14ac:dyDescent="0.3">
      <c r="B2" t="s">
        <v>2</v>
      </c>
      <c r="C2" t="s">
        <v>2</v>
      </c>
      <c r="E2" t="s">
        <v>17</v>
      </c>
    </row>
    <row r="3" spans="1:5" x14ac:dyDescent="0.3">
      <c r="A3" t="s">
        <v>18</v>
      </c>
      <c r="B3" s="6">
        <v>0.30365700000000001</v>
      </c>
      <c r="C3" s="6">
        <v>0.36127000000000004</v>
      </c>
      <c r="E3">
        <v>2460</v>
      </c>
    </row>
    <row r="4" spans="1:5" x14ac:dyDescent="0.3">
      <c r="B4" s="9"/>
      <c r="C4" s="9"/>
    </row>
    <row r="5" spans="1:5" x14ac:dyDescent="0.3">
      <c r="A5" s="2" t="s">
        <v>9</v>
      </c>
      <c r="B5" s="4" t="s">
        <v>3</v>
      </c>
      <c r="C5" s="5" t="s">
        <v>5</v>
      </c>
    </row>
    <row r="6" spans="1:5" x14ac:dyDescent="0.3">
      <c r="B6" t="s">
        <v>2</v>
      </c>
      <c r="C6" t="s">
        <v>2</v>
      </c>
    </row>
    <row r="7" spans="1:5" x14ac:dyDescent="0.3">
      <c r="A7" t="s">
        <v>18</v>
      </c>
      <c r="B7" s="6">
        <v>0.30575199999999997</v>
      </c>
      <c r="C7" s="6">
        <v>0.56736300000000006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0h,24,72h</vt:lpstr>
      <vt:lpstr>425 nm</vt:lpstr>
    </vt:vector>
  </TitlesOfParts>
  <Company>NC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Chukwuma</dc:creator>
  <cp:lastModifiedBy>Emmanuel Chukwuma</cp:lastModifiedBy>
  <dcterms:created xsi:type="dcterms:W3CDTF">2025-02-03T18:52:24Z</dcterms:created>
  <dcterms:modified xsi:type="dcterms:W3CDTF">2025-04-28T23:15:20Z</dcterms:modified>
</cp:coreProperties>
</file>