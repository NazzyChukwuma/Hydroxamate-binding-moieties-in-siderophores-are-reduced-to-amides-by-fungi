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Ferrozine biseptata paper/Correlation plot data/"/>
    </mc:Choice>
  </mc:AlternateContent>
  <xr:revisionPtr revIDLastSave="717" documentId="13_ncr:1_{05423325-C67A-4B6A-8511-4B9A257416BF}" xr6:coauthVersionLast="47" xr6:coauthVersionMax="47" xr10:uidLastSave="{97F75512-0046-402E-BE80-9BC91C12C7DF}"/>
  <bookViews>
    <workbookView xWindow="-108" yWindow="-108" windowWidth="23256" windowHeight="12576" xr2:uid="{5E131544-34C0-4B2E-AA25-6C1CF6578283}"/>
  </bookViews>
  <sheets>
    <sheet name="Correlation plot" sheetId="1" r:id="rId1"/>
    <sheet name="MatLab" sheetId="4" r:id="rId2"/>
    <sheet name="Correlation for biseptata" sheetId="3" r:id="rId3"/>
    <sheet name="Table of (FeII) and DFOB conc,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C29" i="1"/>
</calcChain>
</file>

<file path=xl/sharedStrings.xml><?xml version="1.0" encoding="utf-8"?>
<sst xmlns="http://schemas.openxmlformats.org/spreadsheetml/2006/main" count="118" uniqueCount="34">
  <si>
    <t>(Biotic) DFOB-Fe + Ferrozine</t>
  </si>
  <si>
    <t>(Biotic) DFOB-Fe - Ferrozine</t>
  </si>
  <si>
    <t>Absorbance @ 562 nm</t>
  </si>
  <si>
    <t>72h</t>
  </si>
  <si>
    <t>Organisms</t>
  </si>
  <si>
    <t>Ustilago Nunavutica</t>
  </si>
  <si>
    <t>Vishniacozyma Victoriae</t>
  </si>
  <si>
    <t>Sporobolomyces Ruberrimus</t>
  </si>
  <si>
    <t>Aspergillus Flavus 278</t>
  </si>
  <si>
    <t>Aspergillus Flavus 201</t>
  </si>
  <si>
    <t>SIT1 yeast mutant</t>
  </si>
  <si>
    <t>FRE1 yeast mutant</t>
  </si>
  <si>
    <t>WT yeast mutant</t>
  </si>
  <si>
    <t>P. Chrysosporium BKM1767</t>
  </si>
  <si>
    <t>Peak area (counts*min) DFOB-O</t>
  </si>
  <si>
    <t>(Biotic) DFOB-Fe +Ferrozine</t>
  </si>
  <si>
    <t>Calculated from UV abs.</t>
  </si>
  <si>
    <t>T - 72h</t>
  </si>
  <si>
    <r>
      <rPr>
        <b/>
        <sz val="11"/>
        <color theme="1"/>
        <rFont val="Aptos Narrow"/>
        <family val="2"/>
        <scheme val="minor"/>
      </rPr>
      <t>Fe2+</t>
    </r>
    <r>
      <rPr>
        <sz val="11"/>
        <color theme="1"/>
        <rFont val="Aptos Narrow"/>
        <family val="2"/>
        <scheme val="minor"/>
      </rPr>
      <t xml:space="preserve"> concentration (</t>
    </r>
    <r>
      <rPr>
        <b/>
        <sz val="11"/>
        <color theme="1"/>
        <rFont val="Aptos Narrow"/>
        <family val="2"/>
      </rPr>
      <t>µM</t>
    </r>
    <r>
      <rPr>
        <sz val="11"/>
        <color theme="1"/>
        <rFont val="Aptos Narrow"/>
        <family val="2"/>
      </rPr>
      <t>)</t>
    </r>
  </si>
  <si>
    <t>P. Biseptata</t>
  </si>
  <si>
    <r>
      <t xml:space="preserve">Peak area (counts*min) </t>
    </r>
    <r>
      <rPr>
        <b/>
        <sz val="11"/>
        <color theme="1"/>
        <rFont val="Aptos Narrow"/>
        <family val="2"/>
        <scheme val="minor"/>
      </rPr>
      <t>DFOB-O</t>
    </r>
  </si>
  <si>
    <r>
      <rPr>
        <b/>
        <sz val="11"/>
        <color theme="1"/>
        <rFont val="Aptos Narrow"/>
        <family val="2"/>
        <scheme val="minor"/>
      </rPr>
      <t>DFOB</t>
    </r>
    <r>
      <rPr>
        <sz val="11"/>
        <color theme="1"/>
        <rFont val="Aptos Narrow"/>
        <family val="2"/>
        <scheme val="minor"/>
      </rPr>
      <t xml:space="preserve"> concentration </t>
    </r>
    <r>
      <rPr>
        <b/>
        <sz val="11"/>
        <color theme="1"/>
        <rFont val="Aptos Narrow"/>
        <family val="2"/>
        <scheme val="minor"/>
      </rPr>
      <t>(µM)</t>
    </r>
    <r>
      <rPr>
        <sz val="11"/>
        <color theme="1"/>
        <rFont val="Aptos Narrow"/>
        <family val="2"/>
        <scheme val="minor"/>
      </rPr>
      <t xml:space="preserve"> in </t>
    </r>
  </si>
  <si>
    <t>(+Fe, -Ferrozine)</t>
  </si>
  <si>
    <t>Calculated from DFOB-Fe 614.2 m/z peak area</t>
  </si>
  <si>
    <r>
      <rPr>
        <b/>
        <sz val="11"/>
        <color theme="1"/>
        <rFont val="Aptos Narrow"/>
        <family val="2"/>
        <scheme val="minor"/>
      </rPr>
      <t>Fe3+</t>
    </r>
    <r>
      <rPr>
        <sz val="11"/>
        <color theme="1"/>
        <rFont val="Aptos Narrow"/>
        <family val="2"/>
        <scheme val="minor"/>
      </rPr>
      <t xml:space="preserve"> concentration</t>
    </r>
    <r>
      <rPr>
        <b/>
        <sz val="11"/>
        <color theme="1"/>
        <rFont val="Aptos Narrow"/>
        <family val="2"/>
        <scheme val="minor"/>
      </rPr>
      <t xml:space="preserve"> (µM)</t>
    </r>
  </si>
  <si>
    <t>After 72h</t>
  </si>
  <si>
    <r>
      <t xml:space="preserve">Peak area (counts*min) </t>
    </r>
    <r>
      <rPr>
        <b/>
        <sz val="11"/>
        <color theme="1"/>
        <rFont val="Aptos Narrow"/>
        <family val="2"/>
        <scheme val="minor"/>
      </rPr>
      <t>DFOB-2O</t>
    </r>
  </si>
  <si>
    <r>
      <t xml:space="preserve">Peak area (counts*min) </t>
    </r>
    <r>
      <rPr>
        <b/>
        <sz val="11"/>
        <color theme="1"/>
        <rFont val="Aptos Narrow"/>
        <family val="2"/>
        <scheme val="minor"/>
      </rPr>
      <t>DFOB-3O</t>
    </r>
  </si>
  <si>
    <t>After 24h</t>
  </si>
  <si>
    <t>Pearson's correlation coefficient</t>
  </si>
  <si>
    <t>FRE2 yeast mutant</t>
  </si>
  <si>
    <t>ARN1 yeast mutant</t>
  </si>
  <si>
    <t>ARN2 yeast mutant</t>
  </si>
  <si>
    <t>R²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</si>
</sst>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4" tint="-0.249977111117893"/>
      <name val="Aptos Narrow"/>
      <family val="2"/>
      <scheme val="minor"/>
    </font>
    <font>
      <b/>
      <sz val="10"/>
      <color rgb="FF001D35"/>
      <name val="Arial"/>
      <family val="2"/>
    </font>
    <font>
      <b/>
      <sz val="11"/>
      <color rgb="FFFF0000"/>
      <name val="Aptos Narrow"/>
      <family val="2"/>
      <scheme val="minor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1" fontId="2" fillId="0" borderId="0" xfId="0" applyNumberFormat="1" applyFont="1"/>
    <xf numFmtId="1" fontId="2" fillId="3" borderId="0" xfId="0" applyNumberFormat="1" applyFont="1" applyFill="1"/>
    <xf numFmtId="0" fontId="2" fillId="3" borderId="0" xfId="0" applyFont="1" applyFill="1"/>
    <xf numFmtId="1" fontId="6" fillId="0" borderId="0" xfId="0" applyNumberFormat="1" applyFont="1"/>
    <xf numFmtId="0" fontId="0" fillId="4" borderId="0" xfId="0" applyFill="1"/>
    <xf numFmtId="0" fontId="2" fillId="4" borderId="0" xfId="0" applyFont="1" applyFill="1"/>
    <xf numFmtId="164" fontId="2" fillId="4" borderId="0" xfId="0" applyNumberFormat="1" applyFont="1" applyFill="1"/>
    <xf numFmtId="164" fontId="2" fillId="5" borderId="0" xfId="0" applyNumberFormat="1" applyFont="1" applyFill="1"/>
    <xf numFmtId="0" fontId="7" fillId="0" borderId="0" xfId="0" applyFont="1"/>
    <xf numFmtId="2" fontId="8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Correlation plot of DFOB degradation and Fe(II) formation</a:t>
            </a:r>
          </a:p>
        </c:rich>
      </c:tx>
      <c:layout>
        <c:manualLayout>
          <c:xMode val="edge"/>
          <c:yMode val="edge"/>
          <c:x val="0.13753647926876272"/>
          <c:y val="2.1327241502219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92383305028049"/>
          <c:y val="0.11372133621865396"/>
          <c:w val="0.81380110291643404"/>
          <c:h val="0.7457784001018348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  <a:lumOff val="50000"/>
                </a:schemeClr>
              </a:solidFill>
              <a:ln w="3810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8.3038921121701886E-2"/>
                  <c:y val="0.4476320367575299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3E-05x</a:t>
                    </a:r>
                    <a:br>
                      <a:rPr lang="en-US" sz="1000" b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sz="1000" b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0.957</a:t>
                    </a:r>
                    <a:endParaRPr lang="en-US" sz="1400" b="1">
                      <a:solidFill>
                        <a:schemeClr val="tx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'Correlation plot'!$C$20:$C$28</c:f>
              <c:numCache>
                <c:formatCode>0</c:formatCode>
                <c:ptCount val="9"/>
                <c:pt idx="0">
                  <c:v>0</c:v>
                </c:pt>
                <c:pt idx="1">
                  <c:v>10512.790199999999</c:v>
                </c:pt>
                <c:pt idx="2">
                  <c:v>12536.790199999999</c:v>
                </c:pt>
                <c:pt idx="3">
                  <c:v>14536.790199999999</c:v>
                </c:pt>
                <c:pt idx="4">
                  <c:v>22201.417000000001</c:v>
                </c:pt>
                <c:pt idx="5">
                  <c:v>22331</c:v>
                </c:pt>
                <c:pt idx="6">
                  <c:v>28734</c:v>
                </c:pt>
                <c:pt idx="7">
                  <c:v>32072.6675</c:v>
                </c:pt>
                <c:pt idx="8">
                  <c:v>33551.016199999998</c:v>
                </c:pt>
              </c:numCache>
            </c:numRef>
          </c:xVal>
          <c:yVal>
            <c:numRef>
              <c:f>('Correlation plot'!$D$20:$D$28,'Correlation plot'!$C$29)</c:f>
              <c:numCache>
                <c:formatCode>0.0</c:formatCode>
                <c:ptCount val="10"/>
                <c:pt idx="0">
                  <c:v>7.1993999999999999E-3</c:v>
                </c:pt>
                <c:pt idx="1">
                  <c:v>0.19403500000000001</c:v>
                </c:pt>
                <c:pt idx="2">
                  <c:v>0.123776</c:v>
                </c:pt>
                <c:pt idx="3">
                  <c:v>0.14253299999999999</c:v>
                </c:pt>
                <c:pt idx="4">
                  <c:v>0.48808799999999997</c:v>
                </c:pt>
                <c:pt idx="5">
                  <c:v>0.62429299999999999</c:v>
                </c:pt>
                <c:pt idx="6">
                  <c:v>0.81320400000000004</c:v>
                </c:pt>
                <c:pt idx="7">
                  <c:v>0.81320400000000004</c:v>
                </c:pt>
                <c:pt idx="8">
                  <c:v>0.98810679999999995</c:v>
                </c:pt>
                <c:pt idx="9" formatCode="0.00">
                  <c:v>0.95714482307272342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5-4F97-A6A1-B5A1A28C7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820624"/>
        <c:axId val="733817744"/>
      </c:scatterChart>
      <c:valAx>
        <c:axId val="73382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DFOB-O peak area (counts*min)</a:t>
                </a:r>
              </a:p>
            </c:rich>
          </c:tx>
          <c:layout>
            <c:manualLayout>
              <c:xMode val="edge"/>
              <c:yMode val="edge"/>
              <c:x val="0.3423565832551474"/>
              <c:y val="0.931549708134058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solidFill>
            <a:schemeClr val="bg1"/>
          </a:solidFill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9525" cmpd="sng">
                  <a:solidFill>
                    <a:schemeClr val="tx1">
                      <a:lumMod val="85000"/>
                      <a:lumOff val="15000"/>
                    </a:schemeClr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817744"/>
        <c:crosses val="autoZero"/>
        <c:crossBetween val="midCat"/>
      </c:valAx>
      <c:valAx>
        <c:axId val="73381774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Fe(II)-Ferrozine Absorbance @ 562 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9525">
                  <a:solidFill>
                    <a:schemeClr val="tx1"/>
                  </a:solidFill>
                </a:ln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820624"/>
        <c:crosses val="autoZero"/>
        <c:crossBetween val="midCat"/>
      </c:valAx>
      <c:spPr>
        <a:noFill/>
        <a:ln w="25400" cap="rnd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82093249579757"/>
          <c:y val="0.12795134098803687"/>
          <c:w val="0.76177943510485846"/>
          <c:h val="0.698719910011248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'Correlation plot'!$D$31:$D$32</c:f>
              <c:strCache>
                <c:ptCount val="2"/>
                <c:pt idx="0">
                  <c:v>(Biotic) DFOB-Fe + Ferrozine</c:v>
                </c:pt>
                <c:pt idx="1">
                  <c:v>Absorbance @ 562 nm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12700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070-4AB3-AED2-592BBC7FD438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274789281476801"/>
                  <c:y val="-3.3460817397825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'Correlation plot'!$C$33:$C$37</c:f>
              <c:numCache>
                <c:formatCode>0</c:formatCode>
                <c:ptCount val="5"/>
                <c:pt idx="0">
                  <c:v>0</c:v>
                </c:pt>
                <c:pt idx="1">
                  <c:v>22331</c:v>
                </c:pt>
                <c:pt idx="2">
                  <c:v>28734</c:v>
                </c:pt>
                <c:pt idx="3">
                  <c:v>32072.6675</c:v>
                </c:pt>
                <c:pt idx="4">
                  <c:v>33551.016199999998</c:v>
                </c:pt>
              </c:numCache>
            </c:numRef>
          </c:xVal>
          <c:yVal>
            <c:numRef>
              <c:f>'Correlation plot'!$D$33:$D$37</c:f>
              <c:numCache>
                <c:formatCode>0.0</c:formatCode>
                <c:ptCount val="5"/>
                <c:pt idx="0">
                  <c:v>7.1993999999999999E-3</c:v>
                </c:pt>
                <c:pt idx="1">
                  <c:v>0.62429299999999999</c:v>
                </c:pt>
                <c:pt idx="2">
                  <c:v>0.81320400000000004</c:v>
                </c:pt>
                <c:pt idx="3">
                  <c:v>0.81320400000000004</c:v>
                </c:pt>
                <c:pt idx="4">
                  <c:v>0.98810679999999995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70-4AB3-AED2-592BBC7FD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307744"/>
        <c:axId val="2013310144"/>
      </c:scatterChart>
      <c:valAx>
        <c:axId val="2013307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DFOB-O</a:t>
                </a:r>
                <a:r>
                  <a:rPr lang="en-US" b="1" baseline="0"/>
                  <a:t> peak area (counts*min)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310144"/>
        <c:crosses val="autoZero"/>
        <c:crossBetween val="midCat"/>
      </c:valAx>
      <c:valAx>
        <c:axId val="2013310144"/>
        <c:scaling>
          <c:orientation val="minMax"/>
          <c:max val="1.100000000000000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Fe(II)-Ferrozine</a:t>
                </a:r>
                <a:r>
                  <a:rPr lang="en-US" b="1" baseline="0"/>
                  <a:t> Absorbance @ 562 nm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307744"/>
        <c:crosses val="autoZero"/>
        <c:crossBetween val="midCat"/>
      </c:valAx>
      <c:spPr>
        <a:noFill/>
        <a:ln w="12700">
          <a:solidFill>
            <a:schemeClr val="accent1"/>
          </a:solidFill>
          <a:prstDash val="solid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Correlation plot of DFOB degradation and Fe(II) formation</a:t>
            </a:r>
          </a:p>
        </c:rich>
      </c:tx>
      <c:layout>
        <c:manualLayout>
          <c:xMode val="edge"/>
          <c:yMode val="edge"/>
          <c:x val="0.13671700223713645"/>
          <c:y val="1.853911753800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985366555209"/>
          <c:y val="9.0206437925829219E-2"/>
          <c:w val="0.79881994961050706"/>
          <c:h val="0.753600411435057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'Correlation plot'!$D$44:$D$45</c:f>
              <c:strCache>
                <c:ptCount val="2"/>
                <c:pt idx="0">
                  <c:v>(Biotic) DFOB-Fe + Ferrozine</c:v>
                </c:pt>
                <c:pt idx="1">
                  <c:v>Absorbance @ 562 nm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44450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2477798151943335"/>
                  <c:y val="0.4141201909346823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2E-05x</a:t>
                    </a:r>
                    <a:br>
                      <a:rPr lang="en-US" sz="1000" b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sz="1000" b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0.9458</a:t>
                    </a:r>
                    <a:endParaRPr lang="en-US" sz="1000" b="1">
                      <a:solidFill>
                        <a:schemeClr val="tx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'Correlation plot'!$C$46:$C$57</c:f>
              <c:numCache>
                <c:formatCode>0</c:formatCode>
                <c:ptCount val="12"/>
                <c:pt idx="0">
                  <c:v>0</c:v>
                </c:pt>
                <c:pt idx="1">
                  <c:v>1051.7901999999999</c:v>
                </c:pt>
                <c:pt idx="2">
                  <c:v>1253.7901999999999</c:v>
                </c:pt>
                <c:pt idx="3">
                  <c:v>1453.7901999999999</c:v>
                </c:pt>
                <c:pt idx="4">
                  <c:v>1843</c:v>
                </c:pt>
                <c:pt idx="5">
                  <c:v>2074</c:v>
                </c:pt>
                <c:pt idx="6">
                  <c:v>2101</c:v>
                </c:pt>
                <c:pt idx="7">
                  <c:v>2220.4169999999999</c:v>
                </c:pt>
                <c:pt idx="8">
                  <c:v>2233</c:v>
                </c:pt>
                <c:pt idx="9">
                  <c:v>2873</c:v>
                </c:pt>
                <c:pt idx="10">
                  <c:v>3207.6675</c:v>
                </c:pt>
                <c:pt idx="11">
                  <c:v>3355.0162</c:v>
                </c:pt>
              </c:numCache>
            </c:numRef>
          </c:xVal>
          <c:yVal>
            <c:numRef>
              <c:f>'Correlation plot'!$D$46:$D$57</c:f>
              <c:numCache>
                <c:formatCode>0.0</c:formatCode>
                <c:ptCount val="12"/>
                <c:pt idx="0">
                  <c:v>7.1993999999999999E-3</c:v>
                </c:pt>
                <c:pt idx="1">
                  <c:v>0.114035</c:v>
                </c:pt>
                <c:pt idx="2">
                  <c:v>0.123776</c:v>
                </c:pt>
                <c:pt idx="3">
                  <c:v>0.14253299999999999</c:v>
                </c:pt>
                <c:pt idx="4">
                  <c:v>0.31592900000000002</c:v>
                </c:pt>
                <c:pt idx="5">
                  <c:v>0.371172</c:v>
                </c:pt>
                <c:pt idx="6">
                  <c:v>0.38575799999999999</c:v>
                </c:pt>
                <c:pt idx="7">
                  <c:v>0.48808799999999997</c:v>
                </c:pt>
                <c:pt idx="8">
                  <c:v>0.62429299999999999</c:v>
                </c:pt>
                <c:pt idx="9">
                  <c:v>0.81320400000000004</c:v>
                </c:pt>
                <c:pt idx="10">
                  <c:v>0.81320400000000004</c:v>
                </c:pt>
                <c:pt idx="11">
                  <c:v>0.98810679999999995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7B-4C04-9771-80C1A87C2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358527"/>
        <c:axId val="1227360927"/>
      </c:scatterChart>
      <c:valAx>
        <c:axId val="1227358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DFOB-O peak area (counts*min)</a:t>
                </a:r>
              </a:p>
            </c:rich>
          </c:tx>
          <c:layout>
            <c:manualLayout>
              <c:xMode val="edge"/>
              <c:yMode val="edge"/>
              <c:x val="0.28202599424570929"/>
              <c:y val="0.93045754415833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27360927"/>
        <c:crosses val="autoZero"/>
        <c:crossBetween val="midCat"/>
      </c:valAx>
      <c:valAx>
        <c:axId val="122736092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Fe(II)-Ferrozine Absorbance @ 562 nm</a:t>
                </a:r>
              </a:p>
            </c:rich>
          </c:tx>
          <c:layout>
            <c:manualLayout>
              <c:xMode val="edge"/>
              <c:yMode val="edge"/>
              <c:x val="1.2732288724430487E-2"/>
              <c:y val="9.837234872667940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en-US"/>
          </a:p>
        </c:txPr>
        <c:crossAx val="1227358527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Correlation plot of biseptata DFOB degradation and Fe(II) formation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56503429299317"/>
          <c:y val="0.16202087057958334"/>
          <c:w val="0.79550088622341886"/>
          <c:h val="0.69380507690161919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'Correlation for biseptata'!$D$32</c:f>
              <c:strCache>
                <c:ptCount val="1"/>
                <c:pt idx="0">
                  <c:v>(Biotic) DFOB-Fe + Ferrozine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'Correlation for biseptata'!$C$33:$C$35</c:f>
              <c:numCache>
                <c:formatCode>0</c:formatCode>
                <c:ptCount val="3"/>
                <c:pt idx="0" formatCode="General">
                  <c:v>15623.545366667</c:v>
                </c:pt>
                <c:pt idx="1">
                  <c:v>137681.1074666667</c:v>
                </c:pt>
                <c:pt idx="2" formatCode="General">
                  <c:v>12828</c:v>
                </c:pt>
              </c:numCache>
            </c:numRef>
          </c:xVal>
          <c:yVal>
            <c:numRef>
              <c:f>'Correlation for biseptata'!$D$33:$D$35</c:f>
              <c:numCache>
                <c:formatCode>0.0</c:formatCode>
                <c:ptCount val="3"/>
                <c:pt idx="0">
                  <c:v>0.63730299999999995</c:v>
                </c:pt>
                <c:pt idx="1">
                  <c:v>0.63730299999999995</c:v>
                </c:pt>
                <c:pt idx="2">
                  <c:v>0.63730299999999995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E5-4223-907D-0692A1DA7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408767"/>
        <c:axId val="1817403967"/>
      </c:scatterChart>
      <c:valAx>
        <c:axId val="1817408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DFOB-O peak area (counts*min)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403967"/>
        <c:crosses val="autoZero"/>
        <c:crossBetween val="midCat"/>
      </c:valAx>
      <c:valAx>
        <c:axId val="1817403967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Fe(II)-Ferrozine Absorbance @ 562 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408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8</xdr:row>
      <xdr:rowOff>144780</xdr:rowOff>
    </xdr:from>
    <xdr:to>
      <xdr:col>9</xdr:col>
      <xdr:colOff>144780</xdr:colOff>
      <xdr:row>24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40CE90-9A0E-96EE-185F-0DF83950C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434340</xdr:colOff>
      <xdr:row>26</xdr:row>
      <xdr:rowOff>7620</xdr:rowOff>
    </xdr:from>
    <xdr:to>
      <xdr:col>9</xdr:col>
      <xdr:colOff>15240</xdr:colOff>
      <xdr:row>40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D33904-8A66-41F1-D0F7-6789F3605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655320</xdr:colOff>
      <xdr:row>42</xdr:row>
      <xdr:rowOff>68580</xdr:rowOff>
    </xdr:from>
    <xdr:to>
      <xdr:col>9</xdr:col>
      <xdr:colOff>236220</xdr:colOff>
      <xdr:row>58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A774EF-A389-4604-6A2B-03683D835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731520</xdr:colOff>
      <xdr:row>7</xdr:row>
      <xdr:rowOff>22860</xdr:rowOff>
    </xdr:from>
    <xdr:to>
      <xdr:col>8</xdr:col>
      <xdr:colOff>38100</xdr:colOff>
      <xdr:row>24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366214-9878-3EBC-3835-36E81B6BB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B165-9330-4385-9CB3-144C6216202A}">
  <dimension ref="A1:E59"/>
  <sheetViews>
    <sheetView tabSelected="1" topLeftCell="A37" workbookViewId="0">
      <selection activeCell="C59" sqref="C59"/>
    </sheetView>
  </sheetViews>
  <sheetFormatPr defaultRowHeight="14.4" x14ac:dyDescent="0.3"/>
  <cols>
    <col min="2" max="2" width="29.6640625" bestFit="1" customWidth="1"/>
    <col min="3" max="5" width="27.33203125" bestFit="1" customWidth="1"/>
  </cols>
  <sheetData>
    <row r="1" spans="2:5" x14ac:dyDescent="0.3">
      <c r="B1" s="2" t="s">
        <v>4</v>
      </c>
      <c r="C1" s="1" t="s">
        <v>0</v>
      </c>
      <c r="D1" s="1" t="s">
        <v>15</v>
      </c>
    </row>
    <row r="2" spans="2:5" x14ac:dyDescent="0.3">
      <c r="B2" s="2" t="s">
        <v>3</v>
      </c>
      <c r="C2" t="s">
        <v>2</v>
      </c>
      <c r="D2" t="s">
        <v>20</v>
      </c>
    </row>
    <row r="3" spans="2:5" x14ac:dyDescent="0.3">
      <c r="B3" t="s">
        <v>13</v>
      </c>
      <c r="C3" s="3">
        <v>7.1994000000000002E-2</v>
      </c>
      <c r="D3" s="5">
        <v>0</v>
      </c>
      <c r="E3" s="5"/>
    </row>
    <row r="4" spans="2:5" x14ac:dyDescent="0.3">
      <c r="B4" s="6" t="s">
        <v>12</v>
      </c>
      <c r="C4" s="3">
        <v>0.19403500000000001</v>
      </c>
      <c r="D4" s="5">
        <v>10512.790199999999</v>
      </c>
      <c r="E4" s="5"/>
    </row>
    <row r="5" spans="2:5" x14ac:dyDescent="0.3">
      <c r="B5" s="6" t="s">
        <v>11</v>
      </c>
      <c r="C5" s="4">
        <v>0.123776</v>
      </c>
      <c r="D5" s="5">
        <v>12536.790199999999</v>
      </c>
      <c r="E5" s="5"/>
    </row>
    <row r="6" spans="2:5" x14ac:dyDescent="0.3">
      <c r="B6" s="6" t="s">
        <v>10</v>
      </c>
      <c r="C6" s="4">
        <v>0.14253299999999999</v>
      </c>
      <c r="D6" s="5">
        <v>14536.790199999999</v>
      </c>
      <c r="E6" s="5"/>
    </row>
    <row r="7" spans="2:5" x14ac:dyDescent="0.3">
      <c r="B7" t="s">
        <v>5</v>
      </c>
      <c r="C7" s="4">
        <v>0.98810679999999995</v>
      </c>
      <c r="D7" s="5">
        <v>33551.016199999998</v>
      </c>
      <c r="E7" s="5"/>
    </row>
    <row r="8" spans="2:5" x14ac:dyDescent="0.3">
      <c r="B8" t="s">
        <v>8</v>
      </c>
      <c r="C8" s="4">
        <v>0.62429299999999999</v>
      </c>
      <c r="D8" s="5">
        <v>28734</v>
      </c>
      <c r="E8" s="5"/>
    </row>
    <row r="9" spans="2:5" x14ac:dyDescent="0.3">
      <c r="B9" s="6" t="s">
        <v>6</v>
      </c>
      <c r="C9" s="4">
        <v>0.48808799999999997</v>
      </c>
      <c r="D9" s="5">
        <v>22201.417000000001</v>
      </c>
      <c r="E9" s="5"/>
    </row>
    <row r="10" spans="2:5" x14ac:dyDescent="0.3">
      <c r="B10" t="s">
        <v>9</v>
      </c>
      <c r="C10" s="4">
        <v>0.81320400000000004</v>
      </c>
      <c r="D10" s="5">
        <v>22331</v>
      </c>
      <c r="E10" s="5"/>
    </row>
    <row r="11" spans="2:5" x14ac:dyDescent="0.3">
      <c r="B11" t="s">
        <v>7</v>
      </c>
      <c r="C11" s="4">
        <v>0.68853399999999998</v>
      </c>
      <c r="D11" s="5">
        <v>32072.6675</v>
      </c>
      <c r="E11" s="5"/>
    </row>
    <row r="17" spans="2:4" x14ac:dyDescent="0.3">
      <c r="C17" s="5"/>
      <c r="D17" s="4"/>
    </row>
    <row r="18" spans="2:4" x14ac:dyDescent="0.3">
      <c r="C18" s="1" t="s">
        <v>1</v>
      </c>
      <c r="D18" s="1" t="s">
        <v>0</v>
      </c>
    </row>
    <row r="19" spans="2:4" x14ac:dyDescent="0.3">
      <c r="C19" t="s">
        <v>20</v>
      </c>
      <c r="D19" t="s">
        <v>2</v>
      </c>
    </row>
    <row r="20" spans="2:4" x14ac:dyDescent="0.3">
      <c r="B20" t="s">
        <v>13</v>
      </c>
      <c r="C20" s="5">
        <v>0</v>
      </c>
      <c r="D20" s="4">
        <v>7.1993999999999999E-3</v>
      </c>
    </row>
    <row r="21" spans="2:4" x14ac:dyDescent="0.3">
      <c r="B21" s="6" t="s">
        <v>12</v>
      </c>
      <c r="C21" s="5">
        <v>10512.790199999999</v>
      </c>
      <c r="D21" s="4">
        <v>0.19403500000000001</v>
      </c>
    </row>
    <row r="22" spans="2:4" x14ac:dyDescent="0.3">
      <c r="B22" s="6" t="s">
        <v>11</v>
      </c>
      <c r="C22" s="5">
        <v>12536.790199999999</v>
      </c>
      <c r="D22" s="4">
        <v>0.123776</v>
      </c>
    </row>
    <row r="23" spans="2:4" x14ac:dyDescent="0.3">
      <c r="B23" s="6" t="s">
        <v>10</v>
      </c>
      <c r="C23" s="5">
        <v>14536.790199999999</v>
      </c>
      <c r="D23" s="4">
        <v>0.14253299999999999</v>
      </c>
    </row>
    <row r="24" spans="2:4" x14ac:dyDescent="0.3">
      <c r="B24" s="6" t="s">
        <v>6</v>
      </c>
      <c r="C24" s="5">
        <v>22201.417000000001</v>
      </c>
      <c r="D24" s="4">
        <v>0.48808799999999997</v>
      </c>
    </row>
    <row r="25" spans="2:4" x14ac:dyDescent="0.3">
      <c r="B25" t="s">
        <v>8</v>
      </c>
      <c r="C25" s="5">
        <v>22331</v>
      </c>
      <c r="D25" s="4">
        <v>0.62429299999999999</v>
      </c>
    </row>
    <row r="26" spans="2:4" x14ac:dyDescent="0.3">
      <c r="B26" t="s">
        <v>9</v>
      </c>
      <c r="C26" s="5">
        <v>28734</v>
      </c>
      <c r="D26" s="4">
        <v>0.81320400000000004</v>
      </c>
    </row>
    <row r="27" spans="2:4" x14ac:dyDescent="0.3">
      <c r="B27" t="s">
        <v>7</v>
      </c>
      <c r="C27" s="5">
        <v>32072.6675</v>
      </c>
      <c r="D27" s="4">
        <v>0.81320400000000004</v>
      </c>
    </row>
    <row r="28" spans="2:4" x14ac:dyDescent="0.3">
      <c r="B28" t="s">
        <v>5</v>
      </c>
      <c r="C28" s="5">
        <v>33551.016199999998</v>
      </c>
      <c r="D28" s="4">
        <v>0.98810679999999995</v>
      </c>
    </row>
    <row r="29" spans="2:4" x14ac:dyDescent="0.3">
      <c r="B29" s="15" t="s">
        <v>29</v>
      </c>
      <c r="C29" s="16">
        <f>CORREL(C20:C28,D20:D28)</f>
        <v>0.95714482307272342</v>
      </c>
    </row>
    <row r="31" spans="2:4" x14ac:dyDescent="0.3">
      <c r="C31" s="1" t="s">
        <v>1</v>
      </c>
      <c r="D31" s="1" t="s">
        <v>0</v>
      </c>
    </row>
    <row r="32" spans="2:4" x14ac:dyDescent="0.3">
      <c r="C32" t="s">
        <v>14</v>
      </c>
      <c r="D32" t="s">
        <v>2</v>
      </c>
    </row>
    <row r="33" spans="1:4" x14ac:dyDescent="0.3">
      <c r="B33" t="s">
        <v>13</v>
      </c>
      <c r="C33" s="5">
        <v>0</v>
      </c>
      <c r="D33" s="4">
        <v>7.1993999999999999E-3</v>
      </c>
    </row>
    <row r="34" spans="1:4" x14ac:dyDescent="0.3">
      <c r="B34" t="s">
        <v>8</v>
      </c>
      <c r="C34" s="5">
        <v>22331</v>
      </c>
      <c r="D34" s="4">
        <v>0.62429299999999999</v>
      </c>
    </row>
    <row r="35" spans="1:4" x14ac:dyDescent="0.3">
      <c r="B35" t="s">
        <v>9</v>
      </c>
      <c r="C35" s="5">
        <v>28734</v>
      </c>
      <c r="D35" s="4">
        <v>0.81320400000000004</v>
      </c>
    </row>
    <row r="36" spans="1:4" x14ac:dyDescent="0.3">
      <c r="B36" t="s">
        <v>7</v>
      </c>
      <c r="C36" s="5">
        <v>32072.6675</v>
      </c>
      <c r="D36" s="4">
        <v>0.81320400000000004</v>
      </c>
    </row>
    <row r="37" spans="1:4" x14ac:dyDescent="0.3">
      <c r="B37" t="s">
        <v>5</v>
      </c>
      <c r="C37" s="5">
        <v>33551.016199999998</v>
      </c>
      <c r="D37" s="4">
        <v>0.98810679999999995</v>
      </c>
    </row>
    <row r="44" spans="1:4" x14ac:dyDescent="0.3">
      <c r="C44" s="1" t="s">
        <v>1</v>
      </c>
      <c r="D44" s="1" t="s">
        <v>0</v>
      </c>
    </row>
    <row r="45" spans="1:4" x14ac:dyDescent="0.3">
      <c r="B45" s="2" t="s">
        <v>3</v>
      </c>
      <c r="C45" t="s">
        <v>20</v>
      </c>
      <c r="D45" t="s">
        <v>2</v>
      </c>
    </row>
    <row r="46" spans="1:4" x14ac:dyDescent="0.3">
      <c r="A46" s="2">
        <v>1</v>
      </c>
      <c r="B46" t="s">
        <v>13</v>
      </c>
      <c r="C46" s="5">
        <v>0</v>
      </c>
      <c r="D46" s="4">
        <v>7.1993999999999999E-3</v>
      </c>
    </row>
    <row r="47" spans="1:4" x14ac:dyDescent="0.3">
      <c r="A47" s="2">
        <v>2</v>
      </c>
      <c r="B47" s="6" t="s">
        <v>12</v>
      </c>
      <c r="C47" s="5">
        <v>1051.7901999999999</v>
      </c>
      <c r="D47" s="4">
        <v>0.114035</v>
      </c>
    </row>
    <row r="48" spans="1:4" x14ac:dyDescent="0.3">
      <c r="A48" s="2">
        <v>3</v>
      </c>
      <c r="B48" s="6" t="s">
        <v>11</v>
      </c>
      <c r="C48" s="5">
        <v>1253.7901999999999</v>
      </c>
      <c r="D48" s="4">
        <v>0.123776</v>
      </c>
    </row>
    <row r="49" spans="1:4" x14ac:dyDescent="0.3">
      <c r="A49" s="2">
        <v>4</v>
      </c>
      <c r="B49" s="6" t="s">
        <v>10</v>
      </c>
      <c r="C49" s="5">
        <v>1453.7901999999999</v>
      </c>
      <c r="D49" s="4">
        <v>0.14253299999999999</v>
      </c>
    </row>
    <row r="50" spans="1:4" x14ac:dyDescent="0.3">
      <c r="A50" s="2">
        <v>5</v>
      </c>
      <c r="B50" s="6" t="s">
        <v>30</v>
      </c>
      <c r="C50" s="5">
        <v>1843</v>
      </c>
      <c r="D50" s="4">
        <v>0.31592900000000002</v>
      </c>
    </row>
    <row r="51" spans="1:4" x14ac:dyDescent="0.3">
      <c r="A51" s="2">
        <v>6</v>
      </c>
      <c r="B51" s="6" t="s">
        <v>31</v>
      </c>
      <c r="C51" s="5">
        <v>2074</v>
      </c>
      <c r="D51" s="4">
        <v>0.371172</v>
      </c>
    </row>
    <row r="52" spans="1:4" x14ac:dyDescent="0.3">
      <c r="A52" s="2">
        <v>7</v>
      </c>
      <c r="B52" s="6" t="s">
        <v>32</v>
      </c>
      <c r="C52" s="5">
        <v>2101</v>
      </c>
      <c r="D52" s="4">
        <v>0.38575799999999999</v>
      </c>
    </row>
    <row r="53" spans="1:4" x14ac:dyDescent="0.3">
      <c r="A53" s="2">
        <v>8</v>
      </c>
      <c r="B53" s="6" t="s">
        <v>6</v>
      </c>
      <c r="C53" s="5">
        <v>2220.4169999999999</v>
      </c>
      <c r="D53" s="4">
        <v>0.48808799999999997</v>
      </c>
    </row>
    <row r="54" spans="1:4" x14ac:dyDescent="0.3">
      <c r="A54" s="2">
        <v>9</v>
      </c>
      <c r="B54" t="s">
        <v>8</v>
      </c>
      <c r="C54" s="5">
        <v>2233</v>
      </c>
      <c r="D54" s="4">
        <v>0.62429299999999999</v>
      </c>
    </row>
    <row r="55" spans="1:4" x14ac:dyDescent="0.3">
      <c r="A55" s="2">
        <v>10</v>
      </c>
      <c r="B55" t="s">
        <v>9</v>
      </c>
      <c r="C55" s="5">
        <v>2873</v>
      </c>
      <c r="D55" s="4">
        <v>0.81320400000000004</v>
      </c>
    </row>
    <row r="56" spans="1:4" x14ac:dyDescent="0.3">
      <c r="A56" s="2">
        <v>11</v>
      </c>
      <c r="B56" t="s">
        <v>7</v>
      </c>
      <c r="C56" s="5">
        <v>3207.6675</v>
      </c>
      <c r="D56" s="4">
        <v>0.81320400000000004</v>
      </c>
    </row>
    <row r="57" spans="1:4" x14ac:dyDescent="0.3">
      <c r="A57" s="2">
        <v>12</v>
      </c>
      <c r="B57" t="s">
        <v>5</v>
      </c>
      <c r="C57" s="5">
        <v>3355.0162</v>
      </c>
      <c r="D57" s="4">
        <v>0.98810679999999995</v>
      </c>
    </row>
    <row r="58" spans="1:4" x14ac:dyDescent="0.3">
      <c r="B58" s="15" t="s">
        <v>29</v>
      </c>
      <c r="C58" s="16">
        <f>CORREL(C46:C57,D46:D57)</f>
        <v>0.94464951687947618</v>
      </c>
    </row>
    <row r="59" spans="1:4" x14ac:dyDescent="0.3">
      <c r="B59" s="17" t="s">
        <v>33</v>
      </c>
      <c r="C59" s="4"/>
    </row>
  </sheetData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4B7A-452C-4FF6-AA81-D18960FEFB76}">
  <dimension ref="B2:D12"/>
  <sheetViews>
    <sheetView workbookViewId="0">
      <selection activeCell="C22" sqref="C22"/>
    </sheetView>
  </sheetViews>
  <sheetFormatPr defaultRowHeight="14.4" x14ac:dyDescent="0.3"/>
  <cols>
    <col min="2" max="2" width="24.33203125" bestFit="1" customWidth="1"/>
    <col min="3" max="5" width="27.33203125" bestFit="1" customWidth="1"/>
  </cols>
  <sheetData>
    <row r="2" spans="2:4" x14ac:dyDescent="0.3">
      <c r="C2" s="1" t="s">
        <v>0</v>
      </c>
      <c r="D2" s="1" t="s">
        <v>1</v>
      </c>
    </row>
    <row r="3" spans="2:4" x14ac:dyDescent="0.3">
      <c r="C3" t="s">
        <v>2</v>
      </c>
      <c r="D3" t="s">
        <v>20</v>
      </c>
    </row>
    <row r="4" spans="2:4" x14ac:dyDescent="0.3">
      <c r="B4" t="s">
        <v>13</v>
      </c>
      <c r="C4" s="4">
        <v>7.1993999999999999E-3</v>
      </c>
      <c r="D4" s="5">
        <v>0</v>
      </c>
    </row>
    <row r="5" spans="2:4" x14ac:dyDescent="0.3">
      <c r="B5" s="6" t="s">
        <v>11</v>
      </c>
      <c r="C5" s="4">
        <v>0.123776</v>
      </c>
      <c r="D5" s="5">
        <v>12536.790199999999</v>
      </c>
    </row>
    <row r="6" spans="2:4" x14ac:dyDescent="0.3">
      <c r="B6" s="6" t="s">
        <v>10</v>
      </c>
      <c r="C6" s="4">
        <v>0.14253299999999999</v>
      </c>
      <c r="D6" s="5">
        <v>14536.790199999999</v>
      </c>
    </row>
    <row r="7" spans="2:4" x14ac:dyDescent="0.3">
      <c r="B7" s="6" t="s">
        <v>12</v>
      </c>
      <c r="C7" s="4">
        <v>0.19403500000000001</v>
      </c>
      <c r="D7" s="5">
        <v>10512.790199999999</v>
      </c>
    </row>
    <row r="8" spans="2:4" x14ac:dyDescent="0.3">
      <c r="B8" s="6" t="s">
        <v>6</v>
      </c>
      <c r="C8" s="4">
        <v>0.48808799999999997</v>
      </c>
      <c r="D8" s="5">
        <v>22201.417000000001</v>
      </c>
    </row>
    <row r="9" spans="2:4" x14ac:dyDescent="0.3">
      <c r="B9" t="s">
        <v>8</v>
      </c>
      <c r="C9" s="4">
        <v>0.62429299999999999</v>
      </c>
      <c r="D9" s="5">
        <v>22331</v>
      </c>
    </row>
    <row r="10" spans="2:4" x14ac:dyDescent="0.3">
      <c r="B10" t="s">
        <v>9</v>
      </c>
      <c r="C10" s="4">
        <v>0.81320400000000004</v>
      </c>
      <c r="D10" s="5">
        <v>28734</v>
      </c>
    </row>
    <row r="11" spans="2:4" x14ac:dyDescent="0.3">
      <c r="B11" t="s">
        <v>7</v>
      </c>
      <c r="C11" s="4">
        <v>0.81320400000000004</v>
      </c>
      <c r="D11" s="5">
        <v>32072.6675</v>
      </c>
    </row>
    <row r="12" spans="2:4" x14ac:dyDescent="0.3">
      <c r="B12" t="s">
        <v>5</v>
      </c>
      <c r="C12" s="4">
        <v>0.98810679999999995</v>
      </c>
      <c r="D12" s="5">
        <v>33551.016199999998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880D-6E2B-4421-85FD-859606BCC901}">
  <dimension ref="A1:E35"/>
  <sheetViews>
    <sheetView workbookViewId="0">
      <selection activeCell="B12" sqref="B12:D18"/>
    </sheetView>
  </sheetViews>
  <sheetFormatPr defaultRowHeight="14.4" x14ac:dyDescent="0.3"/>
  <cols>
    <col min="2" max="2" width="28.33203125" bestFit="1" customWidth="1"/>
    <col min="3" max="4" width="27.33203125" bestFit="1" customWidth="1"/>
    <col min="5" max="6" width="28.33203125" bestFit="1" customWidth="1"/>
  </cols>
  <sheetData>
    <row r="1" spans="1:5" x14ac:dyDescent="0.3">
      <c r="B1" s="1" t="s">
        <v>0</v>
      </c>
      <c r="C1" s="1" t="s">
        <v>1</v>
      </c>
      <c r="D1" s="1" t="s">
        <v>1</v>
      </c>
      <c r="E1" s="1" t="s">
        <v>1</v>
      </c>
    </row>
    <row r="2" spans="1:5" x14ac:dyDescent="0.3">
      <c r="B2" t="s">
        <v>2</v>
      </c>
      <c r="C2" t="s">
        <v>20</v>
      </c>
      <c r="D2" t="s">
        <v>26</v>
      </c>
      <c r="E2" t="s">
        <v>27</v>
      </c>
    </row>
    <row r="3" spans="1:5" x14ac:dyDescent="0.3">
      <c r="A3" s="2" t="s">
        <v>28</v>
      </c>
      <c r="B3" s="14">
        <v>0.444994</v>
      </c>
      <c r="C3" s="5">
        <v>9729.2242000000006</v>
      </c>
      <c r="D3" s="5">
        <v>8721.2242000000006</v>
      </c>
      <c r="E3" s="5">
        <v>5466.6774000000005</v>
      </c>
    </row>
    <row r="4" spans="1:5" x14ac:dyDescent="0.3">
      <c r="A4" s="2" t="s">
        <v>25</v>
      </c>
      <c r="B4" s="14">
        <v>0.63730299999999995</v>
      </c>
      <c r="C4" s="5">
        <v>15623.545366667</v>
      </c>
      <c r="D4" s="5">
        <v>137681.1074666667</v>
      </c>
      <c r="E4">
        <v>12828</v>
      </c>
    </row>
    <row r="7" spans="1:5" x14ac:dyDescent="0.3">
      <c r="B7" s="1" t="s">
        <v>1</v>
      </c>
      <c r="C7" s="1" t="s">
        <v>1</v>
      </c>
      <c r="D7" s="1" t="s">
        <v>1</v>
      </c>
      <c r="E7" s="1" t="s">
        <v>0</v>
      </c>
    </row>
    <row r="8" spans="1:5" x14ac:dyDescent="0.3">
      <c r="B8" t="s">
        <v>20</v>
      </c>
      <c r="C8" t="s">
        <v>26</v>
      </c>
      <c r="D8" t="s">
        <v>27</v>
      </c>
      <c r="E8" t="s">
        <v>2</v>
      </c>
    </row>
    <row r="9" spans="1:5" x14ac:dyDescent="0.3">
      <c r="A9" s="2" t="s">
        <v>28</v>
      </c>
      <c r="B9" s="5">
        <v>9729.2242000000006</v>
      </c>
      <c r="C9" s="5">
        <v>9721.2242000000006</v>
      </c>
      <c r="D9" s="5">
        <v>5466.6774000000005</v>
      </c>
      <c r="E9" s="14">
        <v>0.444994</v>
      </c>
    </row>
    <row r="10" spans="1:5" x14ac:dyDescent="0.3">
      <c r="A10" s="2" t="s">
        <v>25</v>
      </c>
      <c r="B10" s="5">
        <v>15623.545366667</v>
      </c>
      <c r="C10" s="5">
        <v>137681.1074666667</v>
      </c>
      <c r="D10">
        <v>12828</v>
      </c>
      <c r="E10" s="14">
        <v>0.63730299999999995</v>
      </c>
    </row>
    <row r="12" spans="1:5" x14ac:dyDescent="0.3">
      <c r="C12" s="1" t="s">
        <v>1</v>
      </c>
      <c r="D12" s="1" t="s">
        <v>0</v>
      </c>
    </row>
    <row r="13" spans="1:5" x14ac:dyDescent="0.3">
      <c r="C13" s="5">
        <v>9729.2242000000006</v>
      </c>
      <c r="D13" s="14">
        <v>0.444994</v>
      </c>
    </row>
    <row r="14" spans="1:5" x14ac:dyDescent="0.3">
      <c r="C14" s="5">
        <v>8721.2242000000006</v>
      </c>
      <c r="D14" s="14">
        <v>0.444994</v>
      </c>
    </row>
    <row r="15" spans="1:5" x14ac:dyDescent="0.3">
      <c r="C15" s="5">
        <v>5466.6774000000005</v>
      </c>
      <c r="D15" s="14">
        <v>0.444994</v>
      </c>
    </row>
    <row r="16" spans="1:5" x14ac:dyDescent="0.3">
      <c r="B16" t="s">
        <v>20</v>
      </c>
      <c r="C16">
        <v>15623.545366667</v>
      </c>
      <c r="D16" s="14">
        <v>0.63730299999999995</v>
      </c>
    </row>
    <row r="17" spans="2:4" x14ac:dyDescent="0.3">
      <c r="B17" t="s">
        <v>26</v>
      </c>
      <c r="C17" s="5">
        <v>137681.1074666667</v>
      </c>
      <c r="D17" s="14">
        <v>0.63730299999999995</v>
      </c>
    </row>
    <row r="18" spans="2:4" x14ac:dyDescent="0.3">
      <c r="B18" t="s">
        <v>27</v>
      </c>
      <c r="C18">
        <v>12828</v>
      </c>
      <c r="D18" s="14">
        <v>0.63730299999999995</v>
      </c>
    </row>
    <row r="32" spans="2:4" x14ac:dyDescent="0.3">
      <c r="B32" s="2" t="s">
        <v>25</v>
      </c>
      <c r="C32" s="1" t="s">
        <v>1</v>
      </c>
      <c r="D32" s="1" t="s">
        <v>0</v>
      </c>
    </row>
    <row r="33" spans="2:4" x14ac:dyDescent="0.3">
      <c r="B33" t="s">
        <v>20</v>
      </c>
      <c r="C33">
        <v>15623.545366667</v>
      </c>
      <c r="D33" s="14">
        <v>0.63730299999999995</v>
      </c>
    </row>
    <row r="34" spans="2:4" x14ac:dyDescent="0.3">
      <c r="B34" t="s">
        <v>26</v>
      </c>
      <c r="C34" s="5">
        <v>137681.1074666667</v>
      </c>
      <c r="D34" s="14">
        <v>0.63730299999999995</v>
      </c>
    </row>
    <row r="35" spans="2:4" x14ac:dyDescent="0.3">
      <c r="B35" t="s">
        <v>27</v>
      </c>
      <c r="C35">
        <v>12828</v>
      </c>
      <c r="D35" s="14">
        <v>0.63730299999999995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44BC-8E70-4CF2-94BA-D87C29A1ADDF}">
  <dimension ref="A1:G12"/>
  <sheetViews>
    <sheetView workbookViewId="0">
      <selection activeCell="C2" sqref="C2"/>
    </sheetView>
  </sheetViews>
  <sheetFormatPr defaultRowHeight="14.4" x14ac:dyDescent="0.3"/>
  <cols>
    <col min="1" max="1" width="24.33203125" bestFit="1" customWidth="1"/>
    <col min="2" max="2" width="21.109375" bestFit="1" customWidth="1"/>
    <col min="3" max="3" width="23.109375" bestFit="1" customWidth="1"/>
    <col min="5" max="5" width="23.109375" bestFit="1" customWidth="1"/>
    <col min="6" max="6" width="23.5546875" bestFit="1" customWidth="1"/>
    <col min="7" max="7" width="14.77734375" bestFit="1" customWidth="1"/>
  </cols>
  <sheetData>
    <row r="1" spans="1:7" x14ac:dyDescent="0.3">
      <c r="A1" s="2" t="s">
        <v>17</v>
      </c>
      <c r="B1" s="2" t="s">
        <v>16</v>
      </c>
      <c r="C1" s="2" t="s">
        <v>23</v>
      </c>
      <c r="F1" s="11"/>
      <c r="G1" s="11"/>
    </row>
    <row r="2" spans="1:7" x14ac:dyDescent="0.3">
      <c r="B2" t="s">
        <v>18</v>
      </c>
      <c r="C2" t="s">
        <v>24</v>
      </c>
      <c r="F2" s="11" t="s">
        <v>21</v>
      </c>
      <c r="G2" s="12" t="s">
        <v>22</v>
      </c>
    </row>
    <row r="3" spans="1:7" x14ac:dyDescent="0.3">
      <c r="A3" t="s">
        <v>13</v>
      </c>
      <c r="B3" s="7">
        <v>0.25804299999999902</v>
      </c>
      <c r="C3" s="10">
        <v>19.513883969805541</v>
      </c>
      <c r="F3" s="13">
        <v>19.969312992172625</v>
      </c>
      <c r="G3" s="11"/>
    </row>
    <row r="4" spans="1:7" x14ac:dyDescent="0.3">
      <c r="A4" s="6" t="s">
        <v>11</v>
      </c>
      <c r="B4" s="7">
        <v>4.43642</v>
      </c>
      <c r="C4" s="10">
        <v>4.4269128172093248</v>
      </c>
      <c r="F4" s="13">
        <v>19.681294532187099</v>
      </c>
      <c r="G4" s="11"/>
    </row>
    <row r="5" spans="1:7" x14ac:dyDescent="0.3">
      <c r="A5" s="6" t="s">
        <v>10</v>
      </c>
      <c r="B5" s="7">
        <v>5.1087099999999896</v>
      </c>
      <c r="C5" s="10">
        <v>12.601774436625464</v>
      </c>
      <c r="F5" s="13">
        <v>19.591274532187125</v>
      </c>
      <c r="G5" s="11"/>
    </row>
    <row r="6" spans="1:7" x14ac:dyDescent="0.3">
      <c r="A6" s="6" t="s">
        <v>12</v>
      </c>
      <c r="B6" s="7">
        <v>6.9546599999999996</v>
      </c>
      <c r="C6" s="10">
        <v>12.363702455090193</v>
      </c>
      <c r="F6" s="13">
        <v>19.011274532187102</v>
      </c>
      <c r="G6" s="11"/>
    </row>
    <row r="7" spans="1:7" x14ac:dyDescent="0.3">
      <c r="A7" s="6" t="s">
        <v>6</v>
      </c>
      <c r="B7" s="7">
        <v>17.494199999999999</v>
      </c>
      <c r="C7" s="10">
        <v>4.2330618789671544</v>
      </c>
      <c r="F7" s="13">
        <v>19.824548518989694</v>
      </c>
      <c r="G7" s="11"/>
    </row>
    <row r="8" spans="1:7" x14ac:dyDescent="0.3">
      <c r="A8" t="s">
        <v>8</v>
      </c>
      <c r="B8" s="7">
        <v>22.376100000000001</v>
      </c>
      <c r="C8" s="10">
        <v>2.4105480997728894</v>
      </c>
      <c r="F8" s="13">
        <v>18.945034017627382</v>
      </c>
      <c r="G8" s="11"/>
    </row>
    <row r="9" spans="1:7" x14ac:dyDescent="0.3">
      <c r="A9" s="9" t="s">
        <v>19</v>
      </c>
      <c r="B9" s="8">
        <v>22.842400000000001</v>
      </c>
      <c r="C9" s="10">
        <v>1.404641587825658</v>
      </c>
      <c r="F9" s="13"/>
      <c r="G9" s="11"/>
    </row>
    <row r="10" spans="1:7" x14ac:dyDescent="0.3">
      <c r="A10" t="s">
        <v>9</v>
      </c>
      <c r="B10" s="7">
        <v>24.954999999999998</v>
      </c>
      <c r="C10" s="10">
        <v>2.0164431154510587</v>
      </c>
      <c r="F10" s="13">
        <v>19.664696798424377</v>
      </c>
      <c r="G10" s="11"/>
    </row>
    <row r="11" spans="1:7" x14ac:dyDescent="0.3">
      <c r="A11" t="s">
        <v>7</v>
      </c>
      <c r="B11" s="7">
        <v>24.678599999999999</v>
      </c>
      <c r="C11" s="10">
        <v>0.47516645811648323</v>
      </c>
      <c r="F11" s="13">
        <v>19.513080628541765</v>
      </c>
      <c r="G11" s="11"/>
    </row>
    <row r="12" spans="1:7" x14ac:dyDescent="0.3">
      <c r="A12" t="s">
        <v>5</v>
      </c>
      <c r="B12" s="7">
        <v>27.151299999999999</v>
      </c>
      <c r="C12" s="10">
        <v>2.1798925678889192</v>
      </c>
      <c r="F12" s="13">
        <v>16.195790153558274</v>
      </c>
      <c r="G1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Correlation plot</vt:lpstr>
      <vt:lpstr>MatLab</vt:lpstr>
      <vt:lpstr>Correlation for biseptata</vt:lpstr>
      <vt:lpstr>Table of (FeII) and DFOB conc,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2025-04-11T15:01:06Z</dcterms:created>
  <dcterms:modified xsi:type="dcterms:W3CDTF">2025-07-17T20:19:56Z</dcterms:modified>
</cp:coreProperties>
</file>