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"/>
    </mc:Choice>
  </mc:AlternateContent>
  <xr:revisionPtr revIDLastSave="2" documentId="13_ncr:1_{94EE3B50-4D1C-4CEF-9980-6B26D5038256}" xr6:coauthVersionLast="47" xr6:coauthVersionMax="47" xr10:uidLastSave="{62AE081A-63DA-4315-B009-8B3190E39D39}"/>
  <bookViews>
    <workbookView xWindow="-108" yWindow="-108" windowWidth="23256" windowHeight="12576" activeTab="1" xr2:uid="{E2A4D3DA-28D3-4F89-AEDB-C27775FAAE57}"/>
  </bookViews>
  <sheets>
    <sheet name="OD600" sheetId="1" r:id="rId1"/>
    <sheet name="Dry weight measurement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H5" i="2"/>
  <c r="I5" i="2"/>
  <c r="B5" i="2"/>
  <c r="C15" i="1"/>
  <c r="D15" i="1"/>
  <c r="E15" i="1"/>
  <c r="F15" i="1"/>
  <c r="G15" i="1"/>
  <c r="H15" i="1"/>
  <c r="I15" i="1"/>
  <c r="J15" i="1"/>
  <c r="K15" i="1"/>
  <c r="B15" i="1"/>
  <c r="C5" i="1"/>
  <c r="D5" i="1"/>
  <c r="E5" i="1"/>
  <c r="F5" i="1"/>
  <c r="G5" i="1"/>
  <c r="H5" i="1"/>
  <c r="I5" i="1"/>
  <c r="J5" i="1"/>
  <c r="K5" i="1"/>
  <c r="B5" i="1"/>
</calcChain>
</file>

<file path=xl/sharedStrings.xml><?xml version="1.0" encoding="utf-8"?>
<sst xmlns="http://schemas.openxmlformats.org/spreadsheetml/2006/main" count="48" uniqueCount="18">
  <si>
    <t>T - 0 h</t>
  </si>
  <si>
    <t>Abiotic - DFOB + Ferrozine</t>
  </si>
  <si>
    <t>Abiotic - DFOB-Fe + Ferrozine</t>
  </si>
  <si>
    <t>(-Fe) Biotic</t>
  </si>
  <si>
    <t>(+Fe) Biotic</t>
  </si>
  <si>
    <t>(-Fe -Ferrozine) Biotic</t>
  </si>
  <si>
    <t>(+Fe -Ferrozine) Biotic</t>
  </si>
  <si>
    <t>(-Fe -DFOB) Biotic</t>
  </si>
  <si>
    <t>(+Fe -DFOB) Biotic</t>
  </si>
  <si>
    <t>(-Fe -DFOB -Ferrozine) Biotic</t>
  </si>
  <si>
    <t>(+Fe -DFOB -Ferrozine) Biotic</t>
  </si>
  <si>
    <t>T - 72h h</t>
  </si>
  <si>
    <t>Dry Weight (g)</t>
  </si>
  <si>
    <t>Blank</t>
  </si>
  <si>
    <t>Sample 1</t>
  </si>
  <si>
    <t>Sample 2</t>
  </si>
  <si>
    <t>Average =</t>
  </si>
  <si>
    <t>After 72h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</si>
</sst>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9621634374356"/>
          <c:y val="4.8643626904496487E-2"/>
          <c:w val="0.85581280043646235"/>
          <c:h val="0.6881219514942607"/>
        </c:manualLayout>
      </c:layout>
      <c:barChart>
        <c:barDir val="col"/>
        <c:grouping val="clustered"/>
        <c:varyColors val="0"/>
        <c:ser>
          <c:idx val="0"/>
          <c:order val="0"/>
          <c:tx>
            <c:v>T = 0h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'OD600'!$B$1:$K$1</c:f>
              <c:strCache>
                <c:ptCount val="10"/>
                <c:pt idx="0">
                  <c:v>Abiotic - DFOB + Ferrozine</c:v>
                </c:pt>
                <c:pt idx="1">
                  <c:v>Abiotic - DFOB-Fe + Ferrozine</c:v>
                </c:pt>
                <c:pt idx="2">
                  <c:v>(-Fe) Biotic</c:v>
                </c:pt>
                <c:pt idx="3">
                  <c:v>(-Fe -Ferrozine) Biotic</c:v>
                </c:pt>
                <c:pt idx="4">
                  <c:v>(-Fe -DFOB) Biotic</c:v>
                </c:pt>
                <c:pt idx="5">
                  <c:v>(-Fe -DFOB -Ferrozine) Biotic</c:v>
                </c:pt>
                <c:pt idx="6">
                  <c:v>(+Fe) Biotic</c:v>
                </c:pt>
                <c:pt idx="7">
                  <c:v>(+Fe -Ferrozine) Biotic</c:v>
                </c:pt>
                <c:pt idx="8">
                  <c:v>(+Fe -DFOB) Biotic</c:v>
                </c:pt>
                <c:pt idx="9">
                  <c:v>(+Fe -DFOB -Ferrozine) Biotic</c:v>
                </c:pt>
              </c:strCache>
            </c:strRef>
          </c:cat>
          <c:val>
            <c:numRef>
              <c:f>'OD600'!$B$5:$K$5</c:f>
              <c:numCache>
                <c:formatCode>0.0</c:formatCode>
                <c:ptCount val="10"/>
                <c:pt idx="0">
                  <c:v>8.2333333333333328E-2</c:v>
                </c:pt>
                <c:pt idx="1">
                  <c:v>8.3000000000000004E-2</c:v>
                </c:pt>
                <c:pt idx="2">
                  <c:v>0.18099999999999997</c:v>
                </c:pt>
                <c:pt idx="3">
                  <c:v>0.18233333333333332</c:v>
                </c:pt>
                <c:pt idx="4">
                  <c:v>0.158</c:v>
                </c:pt>
                <c:pt idx="5">
                  <c:v>0.17566666666666667</c:v>
                </c:pt>
                <c:pt idx="6">
                  <c:v>0.18699999999999997</c:v>
                </c:pt>
                <c:pt idx="7">
                  <c:v>0.18233333333333332</c:v>
                </c:pt>
                <c:pt idx="8">
                  <c:v>0.17066666666666666</c:v>
                </c:pt>
                <c:pt idx="9">
                  <c:v>0.18766666666666665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B-4B58-ACED-7B3888561930}"/>
            </c:ext>
          </c:extLst>
        </c:ser>
        <c:ser>
          <c:idx val="1"/>
          <c:order val="1"/>
          <c:tx>
            <c:v>T = 72h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'OD600'!$B$1:$K$1</c:f>
              <c:strCache>
                <c:ptCount val="10"/>
                <c:pt idx="0">
                  <c:v>Abiotic - DFOB + Ferrozine</c:v>
                </c:pt>
                <c:pt idx="1">
                  <c:v>Abiotic - DFOB-Fe + Ferrozine</c:v>
                </c:pt>
                <c:pt idx="2">
                  <c:v>(-Fe) Biotic</c:v>
                </c:pt>
                <c:pt idx="3">
                  <c:v>(-Fe -Ferrozine) Biotic</c:v>
                </c:pt>
                <c:pt idx="4">
                  <c:v>(-Fe -DFOB) Biotic</c:v>
                </c:pt>
                <c:pt idx="5">
                  <c:v>(-Fe -DFOB -Ferrozine) Biotic</c:v>
                </c:pt>
                <c:pt idx="6">
                  <c:v>(+Fe) Biotic</c:v>
                </c:pt>
                <c:pt idx="7">
                  <c:v>(+Fe -Ferrozine) Biotic</c:v>
                </c:pt>
                <c:pt idx="8">
                  <c:v>(+Fe -DFOB) Biotic</c:v>
                </c:pt>
                <c:pt idx="9">
                  <c:v>(+Fe -DFOB -Ferrozine) Biotic</c:v>
                </c:pt>
              </c:strCache>
            </c:strRef>
          </c:cat>
          <c:val>
            <c:numRef>
              <c:f>'OD600'!$B$15:$K$15</c:f>
              <c:numCache>
                <c:formatCode>0.0</c:formatCode>
                <c:ptCount val="10"/>
                <c:pt idx="0">
                  <c:v>8.2333333333333328E-2</c:v>
                </c:pt>
                <c:pt idx="1">
                  <c:v>8.3000000000000004E-2</c:v>
                </c:pt>
                <c:pt idx="2">
                  <c:v>0.443</c:v>
                </c:pt>
                <c:pt idx="3">
                  <c:v>0.496</c:v>
                </c:pt>
                <c:pt idx="4">
                  <c:v>0.27166666666666667</c:v>
                </c:pt>
                <c:pt idx="5">
                  <c:v>0.60333333333333339</c:v>
                </c:pt>
                <c:pt idx="6">
                  <c:v>0.38066666666666665</c:v>
                </c:pt>
                <c:pt idx="7">
                  <c:v>0.9820000000000001</c:v>
                </c:pt>
                <c:pt idx="8">
                  <c:v>0.34466666666666668</c:v>
                </c:pt>
                <c:pt idx="9">
                  <c:v>1.7476666666666667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B-4B58-ACED-7B3888561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269279"/>
        <c:axId val="1218287519"/>
      </c:barChart>
      <c:catAx>
        <c:axId val="121826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87519"/>
        <c:crosses val="autoZero"/>
        <c:auto val="1"/>
        <c:lblAlgn val="ctr"/>
        <c:lblOffset val="100"/>
        <c:noMultiLvlLbl val="0"/>
      </c:catAx>
      <c:valAx>
        <c:axId val="1218287519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layout>
            <c:manualLayout>
              <c:xMode val="edge"/>
              <c:yMode val="edge"/>
              <c:x val="2.7557764900173996E-2"/>
              <c:y val="0.286788694732573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6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30145986653629"/>
          <c:y val="0.92982044089982319"/>
          <c:w val="0.17149616485520161"/>
          <c:h val="6.0354499678956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8556258899011"/>
          <c:y val="4.2536736272235115E-2"/>
          <c:w val="0.86484929579880943"/>
          <c:h val="0.790841661033670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'Dry weight measurements'!$B$2:$I$2</c:f>
              <c:strCache>
                <c:ptCount val="8"/>
                <c:pt idx="0">
                  <c:v>(-Fe) Biotic</c:v>
                </c:pt>
                <c:pt idx="1">
                  <c:v>(-Fe -Ferrozine) Biotic</c:v>
                </c:pt>
                <c:pt idx="2">
                  <c:v>(-Fe -DFOB) Biotic</c:v>
                </c:pt>
                <c:pt idx="3">
                  <c:v>(-Fe -DFOB -Ferrozine) Biotic</c:v>
                </c:pt>
                <c:pt idx="4">
                  <c:v>(+Fe) Biotic</c:v>
                </c:pt>
                <c:pt idx="5">
                  <c:v>(+Fe -Ferrozine) Biotic</c:v>
                </c:pt>
                <c:pt idx="6">
                  <c:v>(+Fe -DFOB) Biotic</c:v>
                </c:pt>
                <c:pt idx="7">
                  <c:v>(+Fe -DFOB -Ferrozine) Biotic</c:v>
                </c:pt>
              </c:strCache>
            </c:strRef>
          </c:cat>
          <c:val>
            <c:numRef>
              <c:f>'Dry weight measurements'!$B$5:$I$5</c:f>
              <c:numCache>
                <c:formatCode>General</c:formatCode>
                <c:ptCount val="8"/>
                <c:pt idx="0">
                  <c:v>0.1565</c:v>
                </c:pt>
                <c:pt idx="1">
                  <c:v>0.26750000000000002</c:v>
                </c:pt>
                <c:pt idx="2">
                  <c:v>0.2185</c:v>
                </c:pt>
                <c:pt idx="3">
                  <c:v>0.30149999999999999</c:v>
                </c:pt>
                <c:pt idx="4">
                  <c:v>0.28349999999999997</c:v>
                </c:pt>
                <c:pt idx="5">
                  <c:v>0.40649999999999997</c:v>
                </c:pt>
                <c:pt idx="6">
                  <c:v>0.15649999999999997</c:v>
                </c:pt>
                <c:pt idx="7">
                  <c:v>0.373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1-4741-932E-DA9E877E4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168672"/>
        <c:axId val="1063169632"/>
      </c:barChart>
      <c:catAx>
        <c:axId val="106316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69632"/>
        <c:crosses val="autoZero"/>
        <c:auto val="1"/>
        <c:lblAlgn val="ctr"/>
        <c:lblOffset val="100"/>
        <c:noMultiLvlLbl val="0"/>
      </c:catAx>
      <c:valAx>
        <c:axId val="1063169632"/>
        <c:scaling>
          <c:orientation val="minMax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  <a:r>
                  <a:rPr lang="en-US" baseline="0"/>
                  <a:t>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6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16</xdr:row>
      <xdr:rowOff>45720</xdr:rowOff>
    </xdr:from>
    <xdr:to>
      <xdr:col>8</xdr:col>
      <xdr:colOff>632460</xdr:colOff>
      <xdr:row>35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38CAD4-DB35-22F0-6A7F-9E3FF9652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68580</xdr:rowOff>
    </xdr:from>
    <xdr:to>
      <xdr:col>10</xdr:col>
      <xdr:colOff>38100</xdr:colOff>
      <xdr:row>24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655EC-8F76-8497-1030-C5F71EEAD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D889-59C8-4216-8EAF-15B590270B0B}">
  <dimension ref="A1:K15"/>
  <sheetViews>
    <sheetView topLeftCell="A16" workbookViewId="0">
      <selection activeCell="K19" sqref="K19"/>
    </sheetView>
  </sheetViews>
  <sheetFormatPr defaultRowHeight="14.4" x14ac:dyDescent="0.3"/>
  <cols>
    <col min="2" max="2" width="22.109375" bestFit="1" customWidth="1"/>
    <col min="3" max="3" width="24.77734375" bestFit="1" customWidth="1"/>
    <col min="4" max="4" width="9.6640625" bestFit="1" customWidth="1"/>
    <col min="5" max="6" width="18.44140625" bestFit="1" customWidth="1"/>
    <col min="7" max="7" width="24.21875" bestFit="1" customWidth="1"/>
    <col min="8" max="8" width="10" bestFit="1" customWidth="1"/>
    <col min="9" max="9" width="18.77734375" bestFit="1" customWidth="1"/>
    <col min="10" max="10" width="15.77734375" bestFit="1" customWidth="1"/>
    <col min="11" max="11" width="24.21875" bestFit="1" customWidth="1"/>
  </cols>
  <sheetData>
    <row r="1" spans="1:11" x14ac:dyDescent="0.3">
      <c r="B1" s="2" t="s">
        <v>1</v>
      </c>
      <c r="C1" s="2" t="s">
        <v>2</v>
      </c>
      <c r="D1" s="4" t="s">
        <v>3</v>
      </c>
      <c r="E1" s="4" t="s">
        <v>5</v>
      </c>
      <c r="F1" s="4" t="s">
        <v>7</v>
      </c>
      <c r="G1" s="4" t="s">
        <v>9</v>
      </c>
      <c r="H1" s="3" t="s">
        <v>4</v>
      </c>
      <c r="I1" s="3" t="s">
        <v>6</v>
      </c>
      <c r="J1" s="3" t="s">
        <v>8</v>
      </c>
      <c r="K1" s="3" t="s">
        <v>10</v>
      </c>
    </row>
    <row r="2" spans="1:11" x14ac:dyDescent="0.3">
      <c r="A2" s="1" t="s">
        <v>0</v>
      </c>
      <c r="B2" s="5">
        <v>8.2000000000000003E-2</v>
      </c>
      <c r="C2" s="5">
        <v>8.3000000000000004E-2</v>
      </c>
      <c r="D2" s="5">
        <v>0.18099999999999999</v>
      </c>
      <c r="E2" s="5">
        <v>0.16800000000000001</v>
      </c>
      <c r="F2" s="5">
        <v>0.157</v>
      </c>
      <c r="G2" s="5">
        <v>0.182</v>
      </c>
      <c r="H2" s="5">
        <v>0.186</v>
      </c>
      <c r="I2" s="5">
        <v>0.182</v>
      </c>
      <c r="J2" s="5">
        <v>0.17699999999999999</v>
      </c>
      <c r="K2" s="5">
        <v>0.189</v>
      </c>
    </row>
    <row r="3" spans="1:11" x14ac:dyDescent="0.3">
      <c r="B3" s="5">
        <v>8.3000000000000004E-2</v>
      </c>
      <c r="C3" s="5">
        <v>8.3000000000000004E-2</v>
      </c>
      <c r="D3" s="5">
        <v>0.183</v>
      </c>
      <c r="E3" s="5">
        <v>0.191</v>
      </c>
      <c r="F3" s="5">
        <v>0.159</v>
      </c>
      <c r="G3" s="5">
        <v>0.17799999999999999</v>
      </c>
      <c r="H3" s="5">
        <v>0.188</v>
      </c>
      <c r="I3" s="5">
        <v>0.18099999999999999</v>
      </c>
      <c r="J3" s="5">
        <v>0.16800000000000001</v>
      </c>
      <c r="K3" s="5">
        <v>0.188</v>
      </c>
    </row>
    <row r="4" spans="1:11" x14ac:dyDescent="0.3">
      <c r="B4" s="5">
        <v>8.2000000000000003E-2</v>
      </c>
      <c r="C4" s="5">
        <v>8.3000000000000004E-2</v>
      </c>
      <c r="D4" s="5">
        <v>0.17899999999999999</v>
      </c>
      <c r="E4" s="5">
        <v>0.188</v>
      </c>
      <c r="F4" s="5">
        <v>0.158</v>
      </c>
      <c r="G4" s="5">
        <v>0.16700000000000001</v>
      </c>
      <c r="H4" s="5">
        <v>0.187</v>
      </c>
      <c r="I4" s="5">
        <v>0.184</v>
      </c>
      <c r="J4" s="5">
        <v>0.16700000000000001</v>
      </c>
      <c r="K4" s="5">
        <v>0.186</v>
      </c>
    </row>
    <row r="5" spans="1:11" x14ac:dyDescent="0.3">
      <c r="A5" s="1" t="s">
        <v>16</v>
      </c>
      <c r="B5" s="6">
        <f>AVERAGE(B2:B4)</f>
        <v>8.2333333333333328E-2</v>
      </c>
      <c r="C5" s="6">
        <f t="shared" ref="C5:K5" si="0">AVERAGE(C2:C4)</f>
        <v>8.3000000000000004E-2</v>
      </c>
      <c r="D5" s="6">
        <f t="shared" si="0"/>
        <v>0.18099999999999997</v>
      </c>
      <c r="E5" s="6">
        <f t="shared" si="0"/>
        <v>0.18233333333333332</v>
      </c>
      <c r="F5" s="6">
        <f t="shared" si="0"/>
        <v>0.158</v>
      </c>
      <c r="G5" s="6">
        <f t="shared" si="0"/>
        <v>0.17566666666666667</v>
      </c>
      <c r="H5" s="6">
        <f t="shared" si="0"/>
        <v>0.18699999999999997</v>
      </c>
      <c r="I5" s="6">
        <f t="shared" si="0"/>
        <v>0.18233333333333332</v>
      </c>
      <c r="J5" s="6">
        <f t="shared" si="0"/>
        <v>0.17066666666666666</v>
      </c>
      <c r="K5" s="6">
        <f t="shared" si="0"/>
        <v>0.18766666666666665</v>
      </c>
    </row>
    <row r="11" spans="1:11" x14ac:dyDescent="0.3">
      <c r="B11" s="2" t="s">
        <v>1</v>
      </c>
      <c r="C11" s="2" t="s">
        <v>2</v>
      </c>
      <c r="D11" s="4" t="s">
        <v>3</v>
      </c>
      <c r="E11" s="4" t="s">
        <v>5</v>
      </c>
      <c r="F11" s="4" t="s">
        <v>7</v>
      </c>
      <c r="G11" s="4" t="s">
        <v>9</v>
      </c>
      <c r="H11" s="3" t="s">
        <v>4</v>
      </c>
      <c r="I11" s="3" t="s">
        <v>6</v>
      </c>
      <c r="J11" s="3" t="s">
        <v>8</v>
      </c>
      <c r="K11" s="3" t="s">
        <v>10</v>
      </c>
    </row>
    <row r="12" spans="1:11" x14ac:dyDescent="0.3">
      <c r="A12" s="1" t="s">
        <v>11</v>
      </c>
      <c r="B12" s="5">
        <v>8.2000000000000003E-2</v>
      </c>
      <c r="C12" s="5">
        <v>8.3000000000000004E-2</v>
      </c>
      <c r="D12" s="5">
        <v>0.439</v>
      </c>
      <c r="E12" s="6">
        <v>0.499</v>
      </c>
      <c r="F12" s="5">
        <v>0.28299999999999997</v>
      </c>
      <c r="G12" s="6">
        <v>0.57099999999999995</v>
      </c>
      <c r="H12" s="5">
        <v>0.36399999999999999</v>
      </c>
      <c r="I12" s="6">
        <v>1.0489999999999999</v>
      </c>
      <c r="J12" s="5">
        <v>0.32200000000000001</v>
      </c>
      <c r="K12" s="6">
        <v>1.7370000000000001</v>
      </c>
    </row>
    <row r="13" spans="1:11" x14ac:dyDescent="0.3">
      <c r="B13" s="5">
        <v>8.3000000000000004E-2</v>
      </c>
      <c r="C13" s="5">
        <v>8.3000000000000004E-2</v>
      </c>
      <c r="D13" s="5">
        <v>0.442</v>
      </c>
      <c r="E13" s="6">
        <v>0.48499999999999999</v>
      </c>
      <c r="F13" s="5">
        <v>0.28399999999999997</v>
      </c>
      <c r="G13" s="6">
        <v>0.57399999999999995</v>
      </c>
      <c r="H13" s="5">
        <v>0.36299999999999999</v>
      </c>
      <c r="I13" s="6">
        <v>1.0469999999999999</v>
      </c>
      <c r="J13" s="5">
        <v>0.32500000000000001</v>
      </c>
      <c r="K13" s="6">
        <v>1.738</v>
      </c>
    </row>
    <row r="14" spans="1:11" x14ac:dyDescent="0.3">
      <c r="B14" s="5">
        <v>8.2000000000000003E-2</v>
      </c>
      <c r="C14" s="5">
        <v>8.3000000000000004E-2</v>
      </c>
      <c r="D14" s="5">
        <v>0.44800000000000001</v>
      </c>
      <c r="E14" s="6">
        <v>0.504</v>
      </c>
      <c r="F14" s="5">
        <v>0.248</v>
      </c>
      <c r="G14" s="6">
        <v>0.66500000000000004</v>
      </c>
      <c r="H14" s="5">
        <v>0.41499999999999998</v>
      </c>
      <c r="I14" s="6">
        <v>0.85</v>
      </c>
      <c r="J14" s="5">
        <v>0.38700000000000001</v>
      </c>
      <c r="K14" s="6">
        <v>1.768</v>
      </c>
    </row>
    <row r="15" spans="1:11" x14ac:dyDescent="0.3">
      <c r="A15" s="1" t="s">
        <v>16</v>
      </c>
      <c r="B15" s="6">
        <f>AVERAGE(B12:B14)</f>
        <v>8.2333333333333328E-2</v>
      </c>
      <c r="C15" s="6">
        <f t="shared" ref="C15:K15" si="1">AVERAGE(C12:C14)</f>
        <v>8.3000000000000004E-2</v>
      </c>
      <c r="D15" s="6">
        <f t="shared" si="1"/>
        <v>0.443</v>
      </c>
      <c r="E15" s="6">
        <f t="shared" si="1"/>
        <v>0.496</v>
      </c>
      <c r="F15" s="6">
        <f t="shared" si="1"/>
        <v>0.27166666666666667</v>
      </c>
      <c r="G15" s="6">
        <f t="shared" si="1"/>
        <v>0.60333333333333339</v>
      </c>
      <c r="H15" s="6">
        <f t="shared" si="1"/>
        <v>0.38066666666666665</v>
      </c>
      <c r="I15" s="6">
        <f t="shared" si="1"/>
        <v>0.9820000000000001</v>
      </c>
      <c r="J15" s="6">
        <f t="shared" si="1"/>
        <v>0.34466666666666668</v>
      </c>
      <c r="K15" s="6">
        <f t="shared" si="1"/>
        <v>1.7476666666666667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EEFB-8706-430A-B95B-29D1E770E167}">
  <dimension ref="A2:J5"/>
  <sheetViews>
    <sheetView tabSelected="1" workbookViewId="0">
      <selection activeCell="C12" sqref="C12"/>
    </sheetView>
  </sheetViews>
  <sheetFormatPr defaultRowHeight="14.4" x14ac:dyDescent="0.3"/>
  <cols>
    <col min="1" max="1" width="13.6640625" customWidth="1"/>
    <col min="2" max="2" width="9.6640625" bestFit="1" customWidth="1"/>
    <col min="3" max="3" width="18.44140625" bestFit="1" customWidth="1"/>
    <col min="4" max="4" width="15.44140625" bestFit="1" customWidth="1"/>
    <col min="5" max="5" width="24.21875" bestFit="1" customWidth="1"/>
    <col min="6" max="6" width="10" bestFit="1" customWidth="1"/>
    <col min="7" max="7" width="18.77734375" bestFit="1" customWidth="1"/>
    <col min="8" max="8" width="15.77734375" bestFit="1" customWidth="1"/>
    <col min="9" max="9" width="24.5546875" bestFit="1" customWidth="1"/>
  </cols>
  <sheetData>
    <row r="2" spans="1:10" x14ac:dyDescent="0.3">
      <c r="A2" s="1" t="s">
        <v>17</v>
      </c>
      <c r="B2" s="4" t="s">
        <v>3</v>
      </c>
      <c r="C2" s="4" t="s">
        <v>5</v>
      </c>
      <c r="D2" s="4" t="s">
        <v>7</v>
      </c>
      <c r="E2" s="4" t="s">
        <v>9</v>
      </c>
      <c r="F2" s="3" t="s">
        <v>4</v>
      </c>
      <c r="G2" s="3" t="s">
        <v>6</v>
      </c>
      <c r="H2" s="3" t="s">
        <v>8</v>
      </c>
      <c r="I2" s="3" t="s">
        <v>10</v>
      </c>
    </row>
    <row r="3" spans="1:10" x14ac:dyDescent="0.3">
      <c r="B3">
        <v>0.155</v>
      </c>
      <c r="C3" s="1">
        <v>0.32</v>
      </c>
      <c r="D3">
        <v>0.23100000000000001</v>
      </c>
      <c r="E3" s="1">
        <v>0.378</v>
      </c>
      <c r="F3">
        <v>0.33100000000000002</v>
      </c>
      <c r="G3" s="1">
        <v>0.40500000000000003</v>
      </c>
      <c r="H3">
        <v>0.17199999999999999</v>
      </c>
      <c r="I3" s="1">
        <v>0.376</v>
      </c>
      <c r="J3" s="1" t="s">
        <v>14</v>
      </c>
    </row>
    <row r="4" spans="1:10" x14ac:dyDescent="0.3">
      <c r="B4">
        <v>0.158</v>
      </c>
      <c r="C4" s="1">
        <v>0.215</v>
      </c>
      <c r="D4">
        <v>0.20599999999999999</v>
      </c>
      <c r="E4" s="1">
        <v>0.22500000000000001</v>
      </c>
      <c r="F4">
        <v>0.23599999999999999</v>
      </c>
      <c r="G4" s="1">
        <v>0.40799999999999997</v>
      </c>
      <c r="H4">
        <v>0.14099999999999999</v>
      </c>
      <c r="I4" s="1">
        <v>0.37</v>
      </c>
      <c r="J4" s="1" t="s">
        <v>15</v>
      </c>
    </row>
    <row r="5" spans="1:10" x14ac:dyDescent="0.3">
      <c r="A5" s="1" t="s">
        <v>16</v>
      </c>
      <c r="B5" s="1">
        <f>AVERAGE(B3:B4)</f>
        <v>0.1565</v>
      </c>
      <c r="C5" s="1">
        <f t="shared" ref="C5:I5" si="0">AVERAGE(C3:C4)</f>
        <v>0.26750000000000002</v>
      </c>
      <c r="D5" s="1">
        <f t="shared" si="0"/>
        <v>0.2185</v>
      </c>
      <c r="E5" s="1">
        <f t="shared" si="0"/>
        <v>0.30149999999999999</v>
      </c>
      <c r="F5" s="1">
        <f t="shared" si="0"/>
        <v>0.28349999999999997</v>
      </c>
      <c r="G5" s="1">
        <f t="shared" si="0"/>
        <v>0.40649999999999997</v>
      </c>
      <c r="H5" s="1">
        <f t="shared" si="0"/>
        <v>0.15649999999999997</v>
      </c>
      <c r="I5" s="1">
        <f t="shared" si="0"/>
        <v>0.373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A33E-43B1-46A7-A1CF-B02F08FF8CF0}">
  <dimension ref="A1:J4"/>
  <sheetViews>
    <sheetView workbookViewId="0">
      <selection sqref="A1:J5"/>
    </sheetView>
  </sheetViews>
  <sheetFormatPr defaultRowHeight="14.4" x14ac:dyDescent="0.3"/>
  <sheetData>
    <row r="1" spans="1:10" x14ac:dyDescent="0.3">
      <c r="A1" s="1" t="s">
        <v>12</v>
      </c>
      <c r="B1" s="4" t="s">
        <v>3</v>
      </c>
      <c r="C1" s="4" t="s">
        <v>5</v>
      </c>
      <c r="D1" s="4" t="s">
        <v>7</v>
      </c>
      <c r="E1" s="4" t="s">
        <v>9</v>
      </c>
      <c r="F1" s="3" t="s">
        <v>4</v>
      </c>
      <c r="G1" s="3" t="s">
        <v>6</v>
      </c>
      <c r="H1" s="3" t="s">
        <v>8</v>
      </c>
      <c r="I1" s="3" t="s">
        <v>10</v>
      </c>
    </row>
    <row r="2" spans="1:10" x14ac:dyDescent="0.3">
      <c r="A2" t="s">
        <v>13</v>
      </c>
    </row>
    <row r="3" spans="1:10" x14ac:dyDescent="0.3">
      <c r="A3" s="1">
        <v>0.27339999999999998</v>
      </c>
      <c r="B3">
        <v>0.28899999999999998</v>
      </c>
      <c r="C3">
        <v>0.2959</v>
      </c>
      <c r="D3">
        <v>0.29670000000000002</v>
      </c>
      <c r="E3">
        <v>0.311</v>
      </c>
      <c r="F3">
        <v>0.30640000000000001</v>
      </c>
      <c r="G3">
        <v>0.31380000000000002</v>
      </c>
      <c r="H3">
        <v>0.29049999999999998</v>
      </c>
      <c r="I3">
        <v>0.31090000000000001</v>
      </c>
      <c r="J3" s="1" t="s">
        <v>14</v>
      </c>
    </row>
    <row r="4" spans="1:10" x14ac:dyDescent="0.3">
      <c r="B4">
        <v>0.28939999999999999</v>
      </c>
      <c r="C4">
        <v>0.2949</v>
      </c>
      <c r="D4">
        <v>0.28389999999999999</v>
      </c>
      <c r="E4">
        <v>0.2959</v>
      </c>
      <c r="F4">
        <v>0.29699999999999999</v>
      </c>
      <c r="G4">
        <v>0.29420000000000002</v>
      </c>
      <c r="H4">
        <v>0.28739999999999999</v>
      </c>
      <c r="I4">
        <v>0.3105</v>
      </c>
      <c r="J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OD600</vt:lpstr>
      <vt:lpstr>Dry weight measurements</vt:lpstr>
      <vt:lpstr>Sheet1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2025-02-03T20:11:01Z</dcterms:created>
  <dcterms:modified xsi:type="dcterms:W3CDTF">2025-05-19T03:47:25Z</dcterms:modified>
</cp:coreProperties>
</file>