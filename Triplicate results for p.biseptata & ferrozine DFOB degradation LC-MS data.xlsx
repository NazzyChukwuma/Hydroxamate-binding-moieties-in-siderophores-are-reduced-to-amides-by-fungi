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"/>
    </mc:Choice>
  </mc:AlternateContent>
  <xr:revisionPtr revIDLastSave="155" documentId="13_ncr:1_{24B22698-6B74-4CEB-A336-225D4ABA8A39}" xr6:coauthVersionLast="47" xr6:coauthVersionMax="47" xr10:uidLastSave="{CD56565F-6222-4016-9B5B-75E3E995F09A}"/>
  <bookViews>
    <workbookView xWindow="-108" yWindow="-108" windowWidth="23256" windowHeight="12576" activeTab="1" xr2:uid="{00000000-000D-0000-FFFF-FFFF00000000}"/>
  </bookViews>
  <sheets>
    <sheet name="DFOB" sheetId="1" r:id="rId1"/>
    <sheet name="DFOB-O" sheetId="2" r:id="rId2"/>
    <sheet name="DFOB-O2" sheetId="3" r:id="rId3"/>
    <sheet name="DFOB-O3" sheetId="4" r:id="rId4"/>
    <sheet name="Coprogen" sheetId="9" r:id="rId5"/>
    <sheet name="Neocoprogen I" sheetId="10" r:id="rId6"/>
    <sheet name="Neocoprogen II" sheetId="11" r:id="rId7"/>
    <sheet name="Coprogen prod. without DFOB" sheetId="5" r:id="rId8"/>
    <sheet name="Necoprogen I prod. wthout DFOB" sheetId="6" r:id="rId9"/>
    <sheet name="Neocoprogen II prod. wtout DFOB" sheetId="7" r:id="rId10"/>
    <sheet name="Dimerum acid prod. wtout DFOB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G22" i="2"/>
  <c r="H22" i="2"/>
  <c r="I22" i="2"/>
  <c r="E22" i="2"/>
  <c r="AB23" i="6"/>
  <c r="AC23" i="6"/>
  <c r="AD23" i="6"/>
  <c r="AA23" i="6"/>
  <c r="AB15" i="6"/>
  <c r="AC15" i="6"/>
  <c r="AD15" i="6"/>
  <c r="AA15" i="6"/>
  <c r="AB23" i="5"/>
  <c r="AC23" i="5"/>
  <c r="AD23" i="5"/>
  <c r="AA23" i="5"/>
  <c r="AB15" i="5"/>
  <c r="AC15" i="5"/>
  <c r="AD15" i="5"/>
  <c r="AA15" i="5"/>
  <c r="T23" i="5"/>
  <c r="U23" i="5"/>
  <c r="V23" i="5"/>
  <c r="S23" i="5"/>
  <c r="T15" i="5"/>
  <c r="U15" i="5"/>
  <c r="V15" i="5"/>
  <c r="S15" i="5"/>
  <c r="T23" i="6"/>
  <c r="U23" i="6"/>
  <c r="V23" i="6"/>
  <c r="S23" i="6"/>
  <c r="T15" i="6"/>
  <c r="U15" i="6"/>
  <c r="V15" i="6"/>
  <c r="S15" i="6"/>
  <c r="T23" i="7"/>
  <c r="U23" i="7"/>
  <c r="V23" i="7"/>
  <c r="S23" i="7"/>
  <c r="L23" i="7"/>
  <c r="M23" i="7"/>
  <c r="N23" i="7"/>
  <c r="K23" i="7"/>
  <c r="L15" i="7"/>
  <c r="M15" i="7"/>
  <c r="N15" i="7"/>
  <c r="K15" i="7"/>
  <c r="L23" i="6"/>
  <c r="M23" i="6"/>
  <c r="N23" i="6"/>
  <c r="K23" i="6"/>
  <c r="L15" i="6"/>
  <c r="M15" i="6"/>
  <c r="N15" i="6"/>
  <c r="K15" i="6"/>
  <c r="L23" i="5"/>
  <c r="M23" i="5"/>
  <c r="N23" i="5"/>
  <c r="K23" i="5"/>
  <c r="L15" i="5"/>
  <c r="M15" i="5"/>
  <c r="N15" i="5"/>
  <c r="K15" i="5"/>
  <c r="D23" i="8"/>
  <c r="E23" i="8"/>
  <c r="F23" i="8"/>
  <c r="C23" i="8"/>
  <c r="D15" i="8"/>
  <c r="E15" i="8"/>
  <c r="F15" i="8"/>
  <c r="C15" i="8"/>
  <c r="D23" i="7"/>
  <c r="E23" i="7"/>
  <c r="F23" i="7"/>
  <c r="C23" i="7"/>
  <c r="D15" i="7"/>
  <c r="E15" i="7"/>
  <c r="F15" i="7"/>
  <c r="C15" i="7"/>
  <c r="D23" i="6"/>
  <c r="E23" i="6"/>
  <c r="F23" i="6"/>
  <c r="C23" i="6"/>
  <c r="D15" i="6"/>
  <c r="E15" i="6"/>
  <c r="F15" i="6"/>
  <c r="C15" i="6"/>
  <c r="D23" i="5"/>
  <c r="E23" i="5"/>
  <c r="F23" i="5"/>
  <c r="C23" i="5"/>
  <c r="D15" i="5"/>
  <c r="E15" i="5"/>
  <c r="F15" i="5"/>
  <c r="C15" i="5"/>
  <c r="O6" i="4"/>
  <c r="O7" i="4"/>
  <c r="O8" i="4"/>
  <c r="O9" i="4"/>
  <c r="O10" i="4"/>
  <c r="O11" i="4"/>
  <c r="O5" i="4"/>
  <c r="N6" i="4"/>
  <c r="N7" i="4"/>
  <c r="N8" i="4"/>
  <c r="N9" i="4"/>
  <c r="N10" i="4"/>
  <c r="N11" i="4"/>
  <c r="N5" i="4"/>
  <c r="M6" i="4"/>
  <c r="M7" i="4"/>
  <c r="M8" i="4"/>
  <c r="M9" i="4"/>
  <c r="M10" i="4"/>
  <c r="M11" i="4"/>
  <c r="M5" i="4"/>
  <c r="O5" i="3"/>
  <c r="O6" i="3"/>
  <c r="O7" i="3"/>
  <c r="O8" i="3"/>
  <c r="O9" i="3"/>
  <c r="O10" i="3"/>
  <c r="O4" i="3"/>
  <c r="N5" i="3"/>
  <c r="N6" i="3"/>
  <c r="N7" i="3"/>
  <c r="N8" i="3"/>
  <c r="N9" i="3"/>
  <c r="N10" i="3"/>
  <c r="N4" i="3"/>
  <c r="D6" i="3"/>
  <c r="E6" i="3"/>
  <c r="F6" i="3"/>
  <c r="G6" i="3"/>
  <c r="H6" i="3"/>
  <c r="I6" i="3"/>
  <c r="C6" i="3"/>
  <c r="O5" i="2"/>
  <c r="O6" i="2"/>
  <c r="O7" i="2"/>
  <c r="O8" i="2"/>
  <c r="O9" i="2"/>
  <c r="O10" i="2"/>
  <c r="O4" i="2"/>
  <c r="N5" i="2"/>
  <c r="N6" i="2"/>
  <c r="N7" i="2"/>
  <c r="N8" i="2"/>
  <c r="N9" i="2"/>
  <c r="N10" i="2"/>
  <c r="N4" i="2"/>
  <c r="M5" i="2"/>
  <c r="M6" i="2"/>
  <c r="M7" i="2"/>
  <c r="M8" i="2"/>
  <c r="M9" i="2"/>
  <c r="M10" i="2"/>
  <c r="M4" i="2"/>
  <c r="O5" i="1"/>
  <c r="O4" i="1"/>
  <c r="O6" i="1"/>
  <c r="O7" i="1"/>
  <c r="O8" i="1"/>
  <c r="O9" i="1"/>
  <c r="O3" i="1"/>
  <c r="N4" i="1"/>
  <c r="N5" i="1"/>
  <c r="N6" i="1"/>
  <c r="N7" i="1"/>
  <c r="N8" i="1"/>
  <c r="N9" i="1"/>
  <c r="N3" i="1"/>
  <c r="M4" i="1"/>
  <c r="M5" i="1"/>
  <c r="M6" i="1"/>
  <c r="M7" i="1"/>
  <c r="M8" i="1"/>
  <c r="M9" i="1"/>
  <c r="M3" i="1"/>
</calcChain>
</file>

<file path=xl/sharedStrings.xml><?xml version="1.0" encoding="utf-8"?>
<sst xmlns="http://schemas.openxmlformats.org/spreadsheetml/2006/main" count="1904" uniqueCount="60">
  <si>
    <t>0h</t>
  </si>
  <si>
    <t>Abiotic - DFOB</t>
  </si>
  <si>
    <t>Abiotic - DFOB + Ferrozine</t>
  </si>
  <si>
    <t>Abiotic - DFOBFe complex + Ferrozine</t>
  </si>
  <si>
    <t>(-Fe)</t>
  </si>
  <si>
    <t>(-Fe, -Ferrozine)</t>
  </si>
  <si>
    <t>(+Fe)</t>
  </si>
  <si>
    <t>(+Fe, -Ferrozine)</t>
  </si>
  <si>
    <t>(-Fe, -DFOB, -Ferrozine)</t>
  </si>
  <si>
    <t>(+Fe, -DFOB)</t>
  </si>
  <si>
    <t>(+Fe, -DFOB, -Ferrozine)</t>
  </si>
  <si>
    <t>Peak area</t>
  </si>
  <si>
    <t>counts*min</t>
  </si>
  <si>
    <t>Sample</t>
  </si>
  <si>
    <t>24h</t>
  </si>
  <si>
    <t>72h</t>
  </si>
  <si>
    <t>Peak height</t>
  </si>
  <si>
    <t>counts</t>
  </si>
  <si>
    <t>DFOB</t>
  </si>
  <si>
    <t>RT = 4.5</t>
  </si>
  <si>
    <t>RT = 4.51</t>
  </si>
  <si>
    <t>RT = 4.41</t>
  </si>
  <si>
    <t>RT = 4.38</t>
  </si>
  <si>
    <t>DFOB-3O</t>
  </si>
  <si>
    <t>DFOB-2O</t>
  </si>
  <si>
    <t>DFOB-O</t>
  </si>
  <si>
    <t>(-Fe, -DFOB)</t>
  </si>
  <si>
    <t>COPROGEN</t>
  </si>
  <si>
    <t>RT -4.8</t>
  </si>
  <si>
    <t>COPROGEN-O</t>
  </si>
  <si>
    <t>RT -4.86</t>
  </si>
  <si>
    <t>COPROGEN-2O</t>
  </si>
  <si>
    <t>COPROGEN-3O</t>
  </si>
  <si>
    <t>RT -4.79</t>
  </si>
  <si>
    <t>RT -4.804</t>
  </si>
  <si>
    <t>NEOCOPROGEN I-3O</t>
  </si>
  <si>
    <t>NEOCOPROGEN I-2O</t>
  </si>
  <si>
    <t>NEOCOPROGEN I-O</t>
  </si>
  <si>
    <t>NEOCOPROGEN I</t>
  </si>
  <si>
    <t>RT -4.70</t>
  </si>
  <si>
    <t>RT -4.71</t>
  </si>
  <si>
    <t>NEOCOPROGEN II</t>
  </si>
  <si>
    <t>NEOCOPROGEN II-O</t>
  </si>
  <si>
    <t>RT -4.73</t>
  </si>
  <si>
    <t>NEOCOPROGEN II-2O</t>
  </si>
  <si>
    <t>NEOCOPROGEN II-3O</t>
  </si>
  <si>
    <t>RT -4.712</t>
  </si>
  <si>
    <t>RT -4.66</t>
  </si>
  <si>
    <t>RT -4.61</t>
  </si>
  <si>
    <t>MUGINEIC ACID-2O</t>
  </si>
  <si>
    <t>MUGINEIC ACID-3O</t>
  </si>
  <si>
    <t>RT -4.53</t>
  </si>
  <si>
    <t>average</t>
  </si>
  <si>
    <t>T-0h</t>
  </si>
  <si>
    <t>T-24h</t>
  </si>
  <si>
    <t>T-72h</t>
  </si>
  <si>
    <r>
      <t xml:space="preserve">Peak area </t>
    </r>
    <r>
      <rPr>
        <sz val="11"/>
        <color theme="1"/>
        <rFont val="Calibri"/>
        <family val="2"/>
        <scheme val="minor"/>
      </rPr>
      <t>counts*min</t>
    </r>
    <r>
      <rPr>
        <b/>
        <sz val="11"/>
        <color theme="1"/>
        <rFont val="Calibri"/>
        <family val="2"/>
        <scheme val="minor"/>
      </rPr>
      <t xml:space="preserve">  </t>
    </r>
  </si>
  <si>
    <t>Dimerum ACID-O</t>
  </si>
  <si>
    <t>DIMERUM ACID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</si>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</sst>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4" fillId="0" borderId="0" xfId="0" applyFont="1"/>
    <xf numFmtId="0" fontId="1" fillId="0" borderId="0" xfId="0" applyFont="1"/>
    <xf numFmtId="0" fontId="1" fillId="3" borderId="0" xfId="0" applyFont="1" applyFill="1"/>
    <xf numFmtId="0" fontId="5" fillId="5" borderId="0" xfId="0" applyFont="1" applyFill="1"/>
    <xf numFmtId="0" fontId="5" fillId="4" borderId="0" xfId="0" applyFont="1" applyFill="1"/>
    <xf numFmtId="1" fontId="0" fillId="0" borderId="0" xfId="0" applyNumberFormat="1"/>
    <xf numFmtId="1" fontId="0" fillId="2" borderId="0" xfId="0" applyNumberFormat="1" applyFill="1"/>
    <xf numFmtId="1" fontId="1" fillId="3" borderId="0" xfId="0" applyNumberFormat="1" applyFont="1" applyFill="1"/>
    <xf numFmtId="1" fontId="5" fillId="5" borderId="0" xfId="0" applyNumberFormat="1" applyFont="1" applyFill="1"/>
    <xf numFmtId="1" fontId="5" fillId="4" borderId="0" xfId="0" applyNumberFormat="1" applyFont="1" applyFill="1"/>
    <xf numFmtId="1" fontId="2" fillId="0" borderId="0" xfId="0" applyNumberFormat="1" applyFont="1"/>
    <xf numFmtId="1" fontId="0" fillId="3" borderId="0" xfId="0" applyNumberFormat="1" applyFill="1"/>
    <xf numFmtId="1" fontId="2" fillId="5" borderId="0" xfId="0" applyNumberFormat="1" applyFont="1" applyFill="1"/>
    <xf numFmtId="1" fontId="2" fillId="4" borderId="0" xfId="0" applyNumberFormat="1" applyFont="1" applyFill="1"/>
    <xf numFmtId="11" fontId="0" fillId="0" borderId="0" xfId="0" applyNumberFormat="1"/>
    <xf numFmtId="11" fontId="6" fillId="0" borderId="0" xfId="0" applyNumberFormat="1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DFOB!$M$1:$M$2</c:f>
              <c:strCache>
                <c:ptCount val="2"/>
                <c:pt idx="0">
                  <c:v>T-0h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DFOB!$L$3:$L$9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DFOB!$M$3:$M$9</c:f>
              <c:numCache>
                <c:formatCode>0</c:formatCode>
                <c:ptCount val="7"/>
                <c:pt idx="0">
                  <c:v>2669854.2091999999</c:v>
                </c:pt>
                <c:pt idx="1">
                  <c:v>2775910.3713000002</c:v>
                </c:pt>
                <c:pt idx="2">
                  <c:v>2819567.7516333335</c:v>
                </c:pt>
                <c:pt idx="3">
                  <c:v>2861136.1671333332</c:v>
                </c:pt>
                <c:pt idx="4">
                  <c:v>3029841.3488666671</c:v>
                </c:pt>
                <c:pt idx="5">
                  <c:v>2903238.9620333333</c:v>
                </c:pt>
                <c:pt idx="6">
                  <c:v>3037705.4465999999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4-428B-BE46-6302058EF3B8}"/>
            </c:ext>
          </c:extLst>
        </c:ser>
        <c:ser>
          <c:idx val="1"/>
          <c:order val="1"/>
          <c:tx>
            <c:strRef>
              <c:f>DFOB!$N$1:$N$2</c:f>
              <c:strCache>
                <c:ptCount val="2"/>
                <c:pt idx="0">
                  <c:v>T-24h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DFOB!$L$3:$L$9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DFOB!$N$3:$N$9</c:f>
              <c:numCache>
                <c:formatCode>0</c:formatCode>
                <c:ptCount val="7"/>
                <c:pt idx="0">
                  <c:v>2903812.5225499999</c:v>
                </c:pt>
                <c:pt idx="1">
                  <c:v>2914455.2246000003</c:v>
                </c:pt>
                <c:pt idx="2">
                  <c:v>2984703.5957499999</c:v>
                </c:pt>
                <c:pt idx="3">
                  <c:v>2998288.5408333335</c:v>
                </c:pt>
                <c:pt idx="4">
                  <c:v>2860725.5485666669</c:v>
                </c:pt>
                <c:pt idx="5">
                  <c:v>3024905.3923999998</c:v>
                </c:pt>
                <c:pt idx="6">
                  <c:v>2872359.9469333333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4-428B-BE46-6302058EF3B8}"/>
            </c:ext>
          </c:extLst>
        </c:ser>
        <c:ser>
          <c:idx val="2"/>
          <c:order val="2"/>
          <c:tx>
            <c:strRef>
              <c:f>DFOB!$O$1:$O$2</c:f>
              <c:strCache>
                <c:ptCount val="2"/>
                <c:pt idx="0">
                  <c:v>T-72h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DFOB!$L$3:$L$9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DFOB!$O$3:$O$9</c:f>
              <c:numCache>
                <c:formatCode>0</c:formatCode>
                <c:ptCount val="7"/>
                <c:pt idx="0">
                  <c:v>3020772.6862500003</c:v>
                </c:pt>
                <c:pt idx="1">
                  <c:v>2984571.6244999999</c:v>
                </c:pt>
                <c:pt idx="2">
                  <c:v>2928296.7809000001</c:v>
                </c:pt>
                <c:pt idx="3">
                  <c:v>3035665.3585000001</c:v>
                </c:pt>
                <c:pt idx="4">
                  <c:v>2087598.9062333331</c:v>
                </c:pt>
                <c:pt idx="5">
                  <c:v>3025256.8535333332</c:v>
                </c:pt>
                <c:pt idx="6">
                  <c:v>1811488.7412333332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74-428B-BE46-6302058EF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776160"/>
        <c:axId val="1092775200"/>
      </c:barChart>
      <c:catAx>
        <c:axId val="109277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75200"/>
        <c:crosses val="autoZero"/>
        <c:auto val="1"/>
        <c:lblAlgn val="ctr"/>
        <c:lblOffset val="100"/>
        <c:noMultiLvlLbl val="0"/>
      </c:catAx>
      <c:valAx>
        <c:axId val="109277520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7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'DFOB-O'!$M$2:$M$3</c:f>
              <c:strCache>
                <c:ptCount val="2"/>
                <c:pt idx="0">
                  <c:v>T-0h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'DFOB-O'!$L$4:$L$10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'DFOB-O'!$M$4:$M$10</c:f>
              <c:numCache>
                <c:formatCode>0</c:formatCode>
                <c:ptCount val="7"/>
                <c:pt idx="0">
                  <c:v>27868.575049999999</c:v>
                </c:pt>
                <c:pt idx="1">
                  <c:v>20510.017050000002</c:v>
                </c:pt>
                <c:pt idx="2">
                  <c:v>22570.082450000002</c:v>
                </c:pt>
                <c:pt idx="3">
                  <c:v>28879.104733333337</c:v>
                </c:pt>
                <c:pt idx="4">
                  <c:v>66190.341366666675</c:v>
                </c:pt>
                <c:pt idx="5">
                  <c:v>30292.47973333333</c:v>
                </c:pt>
                <c:pt idx="6">
                  <c:v>65420.772499999999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D-4051-B527-F2D6C4E5BB70}"/>
            </c:ext>
          </c:extLst>
        </c:ser>
        <c:ser>
          <c:idx val="1"/>
          <c:order val="1"/>
          <c:tx>
            <c:strRef>
              <c:f>'DFOB-O'!$N$2:$N$3</c:f>
              <c:strCache>
                <c:ptCount val="2"/>
                <c:pt idx="0">
                  <c:v>T-24h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'DFOB-O'!$L$4:$L$10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'DFOB-O'!$N$4:$N$10</c:f>
              <c:numCache>
                <c:formatCode>0</c:formatCode>
                <c:ptCount val="7"/>
                <c:pt idx="0">
                  <c:v>41987.873049999995</c:v>
                </c:pt>
                <c:pt idx="1">
                  <c:v>26011.9889</c:v>
                </c:pt>
                <c:pt idx="2">
                  <c:v>29329.681149999997</c:v>
                </c:pt>
                <c:pt idx="3">
                  <c:v>39089.786933333329</c:v>
                </c:pt>
                <c:pt idx="4">
                  <c:v>576893.41576666664</c:v>
                </c:pt>
                <c:pt idx="5">
                  <c:v>34025.622900000002</c:v>
                </c:pt>
                <c:pt idx="6">
                  <c:v>551518.65850000002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D-4051-B527-F2D6C4E5BB70}"/>
            </c:ext>
          </c:extLst>
        </c:ser>
        <c:ser>
          <c:idx val="2"/>
          <c:order val="2"/>
          <c:tx>
            <c:strRef>
              <c:f>'DFOB-O'!$O$2:$O$3</c:f>
              <c:strCache>
                <c:ptCount val="2"/>
                <c:pt idx="0">
                  <c:v>T-72h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'DFOB-O'!$L$4:$L$10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'DFOB-O'!$O$4:$O$10</c:f>
              <c:numCache>
                <c:formatCode>0</c:formatCode>
                <c:ptCount val="7"/>
                <c:pt idx="0">
                  <c:v>49541.151100000003</c:v>
                </c:pt>
                <c:pt idx="1">
                  <c:v>28729.83785</c:v>
                </c:pt>
                <c:pt idx="2">
                  <c:v>29329.681149999997</c:v>
                </c:pt>
                <c:pt idx="3">
                  <c:v>42402.174700000003</c:v>
                </c:pt>
                <c:pt idx="4">
                  <c:v>763346.18773333321</c:v>
                </c:pt>
                <c:pt idx="5">
                  <c:v>36256.316666666666</c:v>
                </c:pt>
                <c:pt idx="6">
                  <c:v>562365.54536666663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D-4051-B527-F2D6C4E5B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178512"/>
        <c:axId val="1285233136"/>
      </c:barChart>
      <c:catAx>
        <c:axId val="111417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233136"/>
        <c:crosses val="autoZero"/>
        <c:auto val="1"/>
        <c:lblAlgn val="ctr"/>
        <c:lblOffset val="100"/>
        <c:noMultiLvlLbl val="0"/>
      </c:catAx>
      <c:valAx>
        <c:axId val="1285233136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7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'DFOB-O2'!$M$2:$M$3</c:f>
              <c:strCache>
                <c:ptCount val="2"/>
                <c:pt idx="0">
                  <c:v>T-0h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'DFOB-O2'!$L$4:$L$10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'DFOB-O2'!$M$4:$M$10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5-421A-B646-5B6EC49AF7C0}"/>
            </c:ext>
          </c:extLst>
        </c:ser>
        <c:ser>
          <c:idx val="1"/>
          <c:order val="1"/>
          <c:tx>
            <c:strRef>
              <c:f>'DFOB-O2'!$N$2:$N$3</c:f>
              <c:strCache>
                <c:ptCount val="2"/>
                <c:pt idx="0">
                  <c:v>T-24h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strRef>
              <c:f>'DFOB-O2'!$L$4:$L$10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'DFOB-O2'!$N$4:$N$10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392.33333333333331</c:v>
                </c:pt>
                <c:pt idx="4">
                  <c:v>93548.088966666663</c:v>
                </c:pt>
                <c:pt idx="5">
                  <c:v>407.1071</c:v>
                </c:pt>
                <c:pt idx="6">
                  <c:v>97291.224199999997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5-421A-B646-5B6EC49AF7C0}"/>
            </c:ext>
          </c:extLst>
        </c:ser>
        <c:ser>
          <c:idx val="2"/>
          <c:order val="2"/>
          <c:tx>
            <c:strRef>
              <c:f>'DFOB-O2'!$O$2:$O$3</c:f>
              <c:strCache>
                <c:ptCount val="2"/>
                <c:pt idx="0">
                  <c:v>T-72h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'DFOB-O2'!$L$4:$L$10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'DFOB-O2'!$O$4:$O$10</c:f>
              <c:numCache>
                <c:formatCode>0</c:formatCode>
                <c:ptCount val="7"/>
                <c:pt idx="0">
                  <c:v>168.35894999999999</c:v>
                </c:pt>
                <c:pt idx="1">
                  <c:v>45.832349999999998</c:v>
                </c:pt>
                <c:pt idx="2">
                  <c:v>0</c:v>
                </c:pt>
                <c:pt idx="3">
                  <c:v>473.6230333333333</c:v>
                </c:pt>
                <c:pt idx="4">
                  <c:v>224943.0203</c:v>
                </c:pt>
                <c:pt idx="5">
                  <c:v>332.8151666666667</c:v>
                </c:pt>
                <c:pt idx="6">
                  <c:v>137681.1074666667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B5-421A-B646-5B6EC49AF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219871"/>
        <c:axId val="1648233311"/>
      </c:barChart>
      <c:catAx>
        <c:axId val="164821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33311"/>
        <c:crosses val="autoZero"/>
        <c:auto val="1"/>
        <c:lblAlgn val="ctr"/>
        <c:lblOffset val="100"/>
        <c:noMultiLvlLbl val="0"/>
      </c:catAx>
      <c:valAx>
        <c:axId val="16482333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1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'DFOB-O3'!$M$3:$M$4</c:f>
              <c:strCache>
                <c:ptCount val="2"/>
                <c:pt idx="0">
                  <c:v>T-0h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'DFOB-O3'!$L$5:$L$11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'DFOB-O3'!$M$5:$M$11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92.370066666666673</c:v>
                </c:pt>
                <c:pt idx="5">
                  <c:v>0</c:v>
                </c:pt>
                <c:pt idx="6">
                  <c:v>207.55256666666665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E-4B6F-8C5E-BB90FAC33C6F}"/>
            </c:ext>
          </c:extLst>
        </c:ser>
        <c:ser>
          <c:idx val="1"/>
          <c:order val="1"/>
          <c:tx>
            <c:strRef>
              <c:f>'DFOB-O3'!$N$3:$N$4</c:f>
              <c:strCache>
                <c:ptCount val="2"/>
                <c:pt idx="0">
                  <c:v>T-24h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'DFOB-O3'!$L$5:$L$11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'DFOB-O3'!$N$5:$N$11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5516.2604000000001</c:v>
                </c:pt>
                <c:pt idx="5">
                  <c:v>7.9619333333333335</c:v>
                </c:pt>
                <c:pt idx="6">
                  <c:v>5466.6774000000005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E-4B6F-8C5E-BB90FAC33C6F}"/>
            </c:ext>
          </c:extLst>
        </c:ser>
        <c:ser>
          <c:idx val="2"/>
          <c:order val="2"/>
          <c:tx>
            <c:strRef>
              <c:f>'DFOB-O3'!$O$3:$O$4</c:f>
              <c:strCache>
                <c:ptCount val="2"/>
                <c:pt idx="0">
                  <c:v>T-72h</c:v>
                </c:pt>
                <c:pt idx="1">
                  <c:v>Peak area counts*min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'DFOB-O3'!$L$5:$L$11</c:f>
              <c:strCache>
                <c:ptCount val="7"/>
                <c:pt idx="0">
                  <c:v>Abiotic - DFOB</c:v>
                </c:pt>
                <c:pt idx="1">
                  <c:v>Abiotic - DFOB + Ferrozine</c:v>
                </c:pt>
                <c:pt idx="2">
                  <c:v>Abiotic - DFOBFe complex + Ferrozine</c:v>
                </c:pt>
                <c:pt idx="3">
                  <c:v>(-Fe)</c:v>
                </c:pt>
                <c:pt idx="4">
                  <c:v>(-Fe, -Ferrozine)</c:v>
                </c:pt>
                <c:pt idx="5">
                  <c:v>(+Fe)</c:v>
                </c:pt>
                <c:pt idx="6">
                  <c:v>(+Fe, -Ferrozine)</c:v>
                </c:pt>
              </c:strCache>
            </c:strRef>
          </c:cat>
          <c:val>
            <c:numRef>
              <c:f>'DFOB-O3'!$O$5:$O$11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22288.396199999999</c:v>
                </c:pt>
                <c:pt idx="5">
                  <c:v>171.07006666666666</c:v>
                </c:pt>
                <c:pt idx="6">
                  <c:v>12827.822666666667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0E-4B6F-8C5E-BB90FAC33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265951"/>
        <c:axId val="1648243871"/>
      </c:barChart>
      <c:catAx>
        <c:axId val="164826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43871"/>
        <c:crosses val="autoZero"/>
        <c:auto val="1"/>
        <c:lblAlgn val="ctr"/>
        <c:lblOffset val="100"/>
        <c:noMultiLvlLbl val="0"/>
      </c:catAx>
      <c:valAx>
        <c:axId val="1648243871"/>
        <c:scaling>
          <c:orientation val="minMax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26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297180</xdr:colOff>
      <xdr:row>11</xdr:row>
      <xdr:rowOff>118110</xdr:rowOff>
    </xdr:from>
    <xdr:to>
      <xdr:col>16</xdr:col>
      <xdr:colOff>373380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5050A-BB3B-4A50-C9C5-8DA97B812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708660</xdr:colOff>
      <xdr:row>11</xdr:row>
      <xdr:rowOff>72390</xdr:rowOff>
    </xdr:from>
    <xdr:to>
      <xdr:col>17</xdr:col>
      <xdr:colOff>510540</xdr:colOff>
      <xdr:row>32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297F3A-443A-4281-9AA1-182BF3005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11</xdr:row>
      <xdr:rowOff>140970</xdr:rowOff>
    </xdr:from>
    <xdr:to>
      <xdr:col>16</xdr:col>
      <xdr:colOff>76200</xdr:colOff>
      <xdr:row>32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E11D3-2EEF-1B75-1D9F-960AF284A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510540</xdr:colOff>
      <xdr:row>16</xdr:row>
      <xdr:rowOff>15240</xdr:rowOff>
    </xdr:from>
    <xdr:to>
      <xdr:col>17</xdr:col>
      <xdr:colOff>601980</xdr:colOff>
      <xdr:row>35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62BBA-D726-B9EB-CA0D-0459F3DB6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opLeftCell="D1" workbookViewId="0">
      <selection activeCell="L1" sqref="L1:L9"/>
    </sheetView>
  </sheetViews>
  <sheetFormatPr defaultRowHeight="14.4" x14ac:dyDescent="0.3"/>
  <cols>
    <col min="2" max="2" width="11.44140625" bestFit="1" customWidth="1"/>
    <col min="3" max="3" width="23.6640625" bestFit="1" customWidth="1"/>
    <col min="4" max="4" width="24.44140625" bestFit="1" customWidth="1"/>
    <col min="5" max="5" width="35" bestFit="1" customWidth="1"/>
    <col min="6" max="9" width="23.6640625" bestFit="1" customWidth="1"/>
    <col min="10" max="10" width="7.109375" bestFit="1" customWidth="1"/>
    <col min="12" max="12" width="32" bestFit="1" customWidth="1"/>
    <col min="13" max="13" width="22.44140625" bestFit="1" customWidth="1"/>
    <col min="14" max="14" width="19.33203125" bestFit="1" customWidth="1"/>
    <col min="15" max="15" width="22.6640625" bestFit="1" customWidth="1"/>
  </cols>
  <sheetData>
    <row r="1" spans="1:15" ht="18" x14ac:dyDescent="0.35">
      <c r="A1" s="1" t="s">
        <v>0</v>
      </c>
      <c r="C1" s="3" t="s">
        <v>1</v>
      </c>
      <c r="D1" s="3" t="s">
        <v>2</v>
      </c>
      <c r="E1" s="3" t="s">
        <v>3</v>
      </c>
      <c r="F1" s="6" t="s">
        <v>4</v>
      </c>
      <c r="G1" s="6" t="s">
        <v>5</v>
      </c>
      <c r="H1" s="5" t="s">
        <v>6</v>
      </c>
      <c r="I1" s="5" t="s">
        <v>7</v>
      </c>
      <c r="J1" s="1" t="s">
        <v>18</v>
      </c>
      <c r="K1" s="1" t="s">
        <v>19</v>
      </c>
      <c r="M1" t="s">
        <v>53</v>
      </c>
      <c r="N1" t="s">
        <v>54</v>
      </c>
      <c r="O1" t="s">
        <v>55</v>
      </c>
    </row>
    <row r="2" spans="1:15" x14ac:dyDescent="0.3">
      <c r="B2" s="4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M2" s="4" t="s">
        <v>56</v>
      </c>
      <c r="N2" s="4" t="s">
        <v>56</v>
      </c>
      <c r="O2" s="4" t="s">
        <v>56</v>
      </c>
    </row>
    <row r="3" spans="1:15" x14ac:dyDescent="0.3">
      <c r="A3" s="4" t="s">
        <v>13</v>
      </c>
      <c r="B3" s="4">
        <v>1</v>
      </c>
      <c r="C3" s="12">
        <v>2607673.2651999998</v>
      </c>
      <c r="D3" s="12">
        <v>2800490.2121000001</v>
      </c>
      <c r="E3" s="12">
        <v>2837805.9824999999</v>
      </c>
      <c r="F3" s="12">
        <v>2809140.1741999998</v>
      </c>
      <c r="G3" s="12">
        <v>3006656.1376</v>
      </c>
      <c r="H3" s="12">
        <v>2895245.4818000002</v>
      </c>
      <c r="I3" s="12">
        <v>2989115.8404000001</v>
      </c>
      <c r="L3" s="3" t="s">
        <v>1</v>
      </c>
      <c r="M3" s="17">
        <f>AVERAGE(C3:C5)</f>
        <v>2669854.2091999999</v>
      </c>
      <c r="N3" s="17">
        <f>AVERAGE(C11:C13)</f>
        <v>2903812.5225499999</v>
      </c>
      <c r="O3" s="17">
        <f>AVERAGE(C19:C21)</f>
        <v>3020772.6862500003</v>
      </c>
    </row>
    <row r="4" spans="1:15" x14ac:dyDescent="0.3">
      <c r="A4" s="4"/>
      <c r="B4" s="4">
        <v>2</v>
      </c>
      <c r="C4" s="12">
        <v>2724216.0972000002</v>
      </c>
      <c r="D4" s="12">
        <v>2753575.3009000001</v>
      </c>
      <c r="E4" s="12">
        <v>2805414.1211999999</v>
      </c>
      <c r="F4" s="12">
        <v>2910970.5639</v>
      </c>
      <c r="G4" s="12">
        <v>2999131.1680999999</v>
      </c>
      <c r="H4" s="12">
        <v>2869496.9119000002</v>
      </c>
      <c r="I4" s="12">
        <v>3064453.5271000001</v>
      </c>
      <c r="L4" s="3" t="s">
        <v>2</v>
      </c>
      <c r="M4" s="17">
        <f>AVERAGE(D3:D5)</f>
        <v>2775910.3713000002</v>
      </c>
      <c r="N4" s="17">
        <f>AVERAGE(D11:D13)</f>
        <v>2914455.2246000003</v>
      </c>
      <c r="O4" s="17">
        <f>AVERAGE(D19:D21)</f>
        <v>2984571.6244999999</v>
      </c>
    </row>
    <row r="5" spans="1:15" x14ac:dyDescent="0.3">
      <c r="A5" s="4"/>
      <c r="B5" s="4">
        <v>3</v>
      </c>
      <c r="C5" s="12">
        <v>2677673.2651999998</v>
      </c>
      <c r="D5" s="12">
        <v>2773665.6009</v>
      </c>
      <c r="E5" s="12">
        <v>2815483.1512000002</v>
      </c>
      <c r="F5" s="12">
        <v>2863297.7633000002</v>
      </c>
      <c r="G5" s="12">
        <v>3083736.7409000001</v>
      </c>
      <c r="H5" s="12">
        <v>2944974.4923999999</v>
      </c>
      <c r="I5" s="12">
        <v>3059546.9723</v>
      </c>
      <c r="L5" s="3" t="s">
        <v>3</v>
      </c>
      <c r="M5" s="17">
        <f>AVERAGE(E3:E5)</f>
        <v>2819567.7516333335</v>
      </c>
      <c r="N5" s="17">
        <f>AVERAGE(E11:E13)</f>
        <v>2984703.5957499999</v>
      </c>
      <c r="O5" s="17">
        <f>AVERAGE(E19:E21)</f>
        <v>2928296.7809000001</v>
      </c>
    </row>
    <row r="6" spans="1:15" x14ac:dyDescent="0.3">
      <c r="B6" s="4" t="s">
        <v>52</v>
      </c>
      <c r="L6" s="6" t="s">
        <v>4</v>
      </c>
      <c r="M6" s="17">
        <f>AVERAGE(F3:F5)</f>
        <v>2861136.1671333332</v>
      </c>
      <c r="N6" s="17">
        <f>AVERAGE(F11:F13)</f>
        <v>2998288.5408333335</v>
      </c>
      <c r="O6" s="17">
        <f>AVERAGE(F19:F21)</f>
        <v>3035665.3585000001</v>
      </c>
    </row>
    <row r="7" spans="1:15" x14ac:dyDescent="0.3">
      <c r="L7" s="6" t="s">
        <v>5</v>
      </c>
      <c r="M7" s="17">
        <f>AVERAGE(G3:G5)</f>
        <v>3029841.3488666671</v>
      </c>
      <c r="N7" s="17">
        <f>AVERAGE(G11:G13)</f>
        <v>2860725.5485666669</v>
      </c>
      <c r="O7" s="17">
        <f>AVERAGE(G19:G21)</f>
        <v>2087598.9062333331</v>
      </c>
    </row>
    <row r="8" spans="1:15" x14ac:dyDescent="0.3">
      <c r="L8" s="5" t="s">
        <v>6</v>
      </c>
      <c r="M8" s="17">
        <f>AVERAGE(H3:H5)</f>
        <v>2903238.9620333333</v>
      </c>
      <c r="N8" s="17">
        <f>AVERAGE(H11:H13)</f>
        <v>3024905.3923999998</v>
      </c>
      <c r="O8" s="17">
        <f>AVERAGE(H19:H21)</f>
        <v>3025256.8535333332</v>
      </c>
    </row>
    <row r="9" spans="1:15" ht="18" x14ac:dyDescent="0.35">
      <c r="A9" s="1" t="s">
        <v>14</v>
      </c>
      <c r="C9" s="3" t="s">
        <v>1</v>
      </c>
      <c r="D9" s="3" t="s">
        <v>2</v>
      </c>
      <c r="E9" s="3" t="s">
        <v>3</v>
      </c>
      <c r="F9" s="6" t="s">
        <v>4</v>
      </c>
      <c r="G9" s="6" t="s">
        <v>5</v>
      </c>
      <c r="H9" s="5" t="s">
        <v>6</v>
      </c>
      <c r="I9" s="5" t="s">
        <v>7</v>
      </c>
      <c r="L9" s="5" t="s">
        <v>7</v>
      </c>
      <c r="M9" s="17">
        <f>AVERAGE(I3:I5)</f>
        <v>3037705.4465999999</v>
      </c>
      <c r="N9" s="17">
        <f>AVERAGE(I11:I13)</f>
        <v>2872359.9469333333</v>
      </c>
      <c r="O9" s="17">
        <f>AVERAGE(I19:I21)</f>
        <v>1811488.7412333332</v>
      </c>
    </row>
    <row r="10" spans="1:15" x14ac:dyDescent="0.3">
      <c r="B10" s="4" t="s">
        <v>11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</row>
    <row r="11" spans="1:15" x14ac:dyDescent="0.3">
      <c r="A11" s="4" t="s">
        <v>13</v>
      </c>
      <c r="B11" s="4">
        <v>1</v>
      </c>
      <c r="C11" s="12">
        <v>2902212.4188000001</v>
      </c>
      <c r="D11" s="12">
        <v>2894754.3826000001</v>
      </c>
      <c r="E11" s="12">
        <v>3029627.2656999999</v>
      </c>
      <c r="F11" s="12">
        <v>2976053.5761000002</v>
      </c>
      <c r="G11" s="12">
        <v>2889223.9539000001</v>
      </c>
      <c r="H11" s="12">
        <v>3053876.3179000001</v>
      </c>
      <c r="I11" s="12">
        <v>2801008.8418000001</v>
      </c>
    </row>
    <row r="12" spans="1:15" x14ac:dyDescent="0.3">
      <c r="A12" s="4"/>
      <c r="B12" s="4">
        <v>2</v>
      </c>
      <c r="C12" s="12">
        <v>2905412.6263000001</v>
      </c>
      <c r="D12" s="12">
        <v>2934156.0666</v>
      </c>
      <c r="E12" s="12">
        <v>2939779.9257999999</v>
      </c>
      <c r="F12" s="12">
        <v>3000121.4333000001</v>
      </c>
      <c r="G12" s="12">
        <v>2806234.6546</v>
      </c>
      <c r="H12" s="12">
        <v>3004500.5211999998</v>
      </c>
      <c r="I12" s="12">
        <v>2921798.5427000001</v>
      </c>
    </row>
    <row r="13" spans="1:15" x14ac:dyDescent="0.3">
      <c r="A13" s="4"/>
      <c r="B13" s="4">
        <v>3</v>
      </c>
      <c r="C13" s="12"/>
      <c r="D13" s="12"/>
      <c r="E13" s="12"/>
      <c r="F13" s="12">
        <v>3018690.6131000002</v>
      </c>
      <c r="G13" s="12">
        <v>2886718.0372000001</v>
      </c>
      <c r="H13" s="12">
        <v>3016339.3380999998</v>
      </c>
      <c r="I13" s="12">
        <v>2894272.4563000002</v>
      </c>
    </row>
    <row r="14" spans="1:15" x14ac:dyDescent="0.3">
      <c r="B14" s="4" t="s">
        <v>52</v>
      </c>
    </row>
    <row r="17" spans="1:11" ht="18" x14ac:dyDescent="0.35">
      <c r="A17" s="1" t="s">
        <v>15</v>
      </c>
      <c r="C17" s="3" t="s">
        <v>1</v>
      </c>
      <c r="D17" s="3" t="s">
        <v>2</v>
      </c>
      <c r="E17" s="3" t="s">
        <v>3</v>
      </c>
      <c r="F17" s="6" t="s">
        <v>4</v>
      </c>
      <c r="G17" s="6" t="s">
        <v>5</v>
      </c>
      <c r="H17" s="5" t="s">
        <v>6</v>
      </c>
      <c r="I17" s="5" t="s">
        <v>7</v>
      </c>
    </row>
    <row r="18" spans="1:11" x14ac:dyDescent="0.3">
      <c r="B18" s="4" t="s">
        <v>11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</row>
    <row r="19" spans="1:11" x14ac:dyDescent="0.3">
      <c r="A19" s="4" t="s">
        <v>13</v>
      </c>
      <c r="B19" s="4">
        <v>1</v>
      </c>
      <c r="C19" s="12">
        <v>2966265.4838</v>
      </c>
      <c r="D19" s="12">
        <v>2958555.0981000001</v>
      </c>
      <c r="E19" s="12">
        <v>3029627.2656999999</v>
      </c>
      <c r="F19" s="12">
        <v>3003474.0488</v>
      </c>
      <c r="G19" s="12">
        <v>1982568.5421</v>
      </c>
      <c r="H19" s="12">
        <v>3007702.8949000002</v>
      </c>
      <c r="I19" s="12">
        <v>1548611.3679</v>
      </c>
    </row>
    <row r="20" spans="1:11" x14ac:dyDescent="0.3">
      <c r="A20" s="4"/>
      <c r="B20" s="4">
        <v>2</v>
      </c>
      <c r="C20" s="12">
        <v>3075279.8887</v>
      </c>
      <c r="D20" s="12">
        <v>3010588.1508999998</v>
      </c>
      <c r="E20" s="12">
        <v>2939779.9257999999</v>
      </c>
      <c r="F20" s="12">
        <v>3047834.3039000002</v>
      </c>
      <c r="G20" s="12">
        <v>2074738.4071</v>
      </c>
      <c r="H20" s="12">
        <v>3056244.7980999998</v>
      </c>
      <c r="I20" s="12">
        <v>2057271.7064</v>
      </c>
    </row>
    <row r="21" spans="1:11" x14ac:dyDescent="0.3">
      <c r="A21" s="4"/>
      <c r="B21" s="4">
        <v>3</v>
      </c>
      <c r="C21" s="12"/>
      <c r="D21" s="12"/>
      <c r="E21" s="12">
        <v>2815483.1512000002</v>
      </c>
      <c r="F21" s="12">
        <v>3055687.7228000001</v>
      </c>
      <c r="G21" s="12">
        <v>2205489.7694999999</v>
      </c>
      <c r="H21" s="12">
        <v>3011822.8676</v>
      </c>
      <c r="I21" s="12">
        <v>1828583.1494</v>
      </c>
    </row>
    <row r="22" spans="1:11" x14ac:dyDescent="0.3">
      <c r="B22" s="4" t="s">
        <v>52</v>
      </c>
    </row>
    <row r="25" spans="1:11" ht="18" x14ac:dyDescent="0.35">
      <c r="A25" s="7" t="s">
        <v>0</v>
      </c>
      <c r="B25" s="8"/>
      <c r="C25" s="9" t="s">
        <v>1</v>
      </c>
      <c r="D25" s="9" t="s">
        <v>2</v>
      </c>
      <c r="E25" s="9" t="s">
        <v>3</v>
      </c>
      <c r="F25" s="10" t="s">
        <v>4</v>
      </c>
      <c r="G25" s="10" t="s">
        <v>5</v>
      </c>
      <c r="H25" s="11" t="s">
        <v>6</v>
      </c>
      <c r="I25" s="11" t="s">
        <v>7</v>
      </c>
      <c r="J25" s="8"/>
      <c r="K25" s="8"/>
    </row>
    <row r="26" spans="1:11" x14ac:dyDescent="0.3">
      <c r="B26" s="4" t="s">
        <v>16</v>
      </c>
      <c r="C26" t="s">
        <v>17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</row>
    <row r="27" spans="1:11" x14ac:dyDescent="0.3">
      <c r="A27" s="4" t="s">
        <v>13</v>
      </c>
      <c r="B27" s="4">
        <v>1</v>
      </c>
      <c r="C27" s="12">
        <v>25235242.622000001</v>
      </c>
      <c r="D27" s="12">
        <v>27311030.048</v>
      </c>
      <c r="E27" s="12">
        <v>27818203.357999999</v>
      </c>
      <c r="F27" s="12">
        <v>26062694.897999998</v>
      </c>
      <c r="G27" s="12">
        <v>27078454.699000001</v>
      </c>
      <c r="H27" s="12">
        <v>27174094.813999999</v>
      </c>
      <c r="I27" s="12">
        <v>26867987.184</v>
      </c>
    </row>
    <row r="28" spans="1:11" x14ac:dyDescent="0.3">
      <c r="A28" s="4"/>
      <c r="B28" s="4">
        <v>2</v>
      </c>
      <c r="C28" s="12">
        <v>26191193.149</v>
      </c>
      <c r="D28" s="12">
        <v>26228366.425999999</v>
      </c>
      <c r="E28" s="12">
        <v>27592157.818</v>
      </c>
      <c r="F28" s="12">
        <v>26848278.921</v>
      </c>
      <c r="G28" s="12">
        <v>27260015.065000001</v>
      </c>
      <c r="H28" s="12">
        <v>27068343.960999999</v>
      </c>
      <c r="I28" s="12">
        <v>27472198.046</v>
      </c>
    </row>
    <row r="29" spans="1:11" x14ac:dyDescent="0.3">
      <c r="A29" s="4"/>
      <c r="B29" s="4">
        <v>3</v>
      </c>
      <c r="C29" s="12">
        <v>26198893.149</v>
      </c>
      <c r="D29" s="12">
        <v>26278396.425999999</v>
      </c>
      <c r="E29" s="12">
        <v>27669577.818</v>
      </c>
      <c r="F29" s="12">
        <v>26823107.050000001</v>
      </c>
      <c r="G29" s="12">
        <v>27804797.765999999</v>
      </c>
      <c r="H29" s="12">
        <v>28154584.690000001</v>
      </c>
      <c r="I29" s="12">
        <v>27766718.045000002</v>
      </c>
    </row>
    <row r="30" spans="1:11" x14ac:dyDescent="0.3">
      <c r="C30" s="12"/>
      <c r="D30" s="12"/>
      <c r="E30" s="12"/>
      <c r="F30" s="12"/>
      <c r="G30" s="12"/>
      <c r="H30" s="12"/>
      <c r="I30" s="12"/>
    </row>
    <row r="31" spans="1:11" x14ac:dyDescent="0.3">
      <c r="C31" s="12"/>
      <c r="D31" s="12"/>
      <c r="E31" s="12"/>
      <c r="F31" s="12"/>
      <c r="G31" s="12"/>
      <c r="H31" s="12"/>
      <c r="I31" s="12"/>
    </row>
    <row r="32" spans="1:11" x14ac:dyDescent="0.3">
      <c r="C32" s="12"/>
      <c r="D32" s="12"/>
      <c r="E32" s="12"/>
      <c r="F32" s="12"/>
      <c r="G32" s="12"/>
      <c r="H32" s="12"/>
      <c r="I32" s="12"/>
    </row>
    <row r="33" spans="1:11" ht="18" x14ac:dyDescent="0.35">
      <c r="A33" s="7" t="s">
        <v>14</v>
      </c>
      <c r="B33" s="8"/>
      <c r="C33" s="14" t="s">
        <v>1</v>
      </c>
      <c r="D33" s="14" t="s">
        <v>2</v>
      </c>
      <c r="E33" s="14" t="s">
        <v>3</v>
      </c>
      <c r="F33" s="15" t="s">
        <v>4</v>
      </c>
      <c r="G33" s="15" t="s">
        <v>5</v>
      </c>
      <c r="H33" s="16" t="s">
        <v>6</v>
      </c>
      <c r="I33" s="16" t="s">
        <v>7</v>
      </c>
      <c r="J33" s="8"/>
      <c r="K33" s="8"/>
    </row>
    <row r="34" spans="1:11" x14ac:dyDescent="0.3">
      <c r="B34" s="4" t="s">
        <v>16</v>
      </c>
      <c r="C34" s="12" t="s">
        <v>17</v>
      </c>
      <c r="D34" s="12" t="s">
        <v>17</v>
      </c>
      <c r="E34" s="12" t="s">
        <v>17</v>
      </c>
      <c r="F34" s="12" t="s">
        <v>17</v>
      </c>
      <c r="G34" s="12" t="s">
        <v>17</v>
      </c>
      <c r="H34" s="12" t="s">
        <v>17</v>
      </c>
      <c r="I34" s="12" t="s">
        <v>17</v>
      </c>
    </row>
    <row r="35" spans="1:11" x14ac:dyDescent="0.3">
      <c r="A35" s="4" t="s">
        <v>13</v>
      </c>
      <c r="B35" s="4">
        <v>1</v>
      </c>
      <c r="C35" s="12">
        <v>28118920.170000002</v>
      </c>
      <c r="D35" s="12">
        <v>27215324.399999999</v>
      </c>
      <c r="E35" s="12">
        <v>28185372.465</v>
      </c>
      <c r="F35" s="12">
        <v>27276130.432</v>
      </c>
      <c r="G35" s="12">
        <v>25289103.692000002</v>
      </c>
      <c r="H35" s="12">
        <v>27135262.313000001</v>
      </c>
      <c r="I35" s="12">
        <v>24983295.741999999</v>
      </c>
    </row>
    <row r="36" spans="1:11" x14ac:dyDescent="0.3">
      <c r="A36" s="4"/>
      <c r="B36" s="4">
        <v>2</v>
      </c>
      <c r="C36" s="12">
        <v>28005239.607000001</v>
      </c>
      <c r="D36" s="12">
        <v>27948444.092999998</v>
      </c>
      <c r="E36" s="12">
        <v>27575981.081999999</v>
      </c>
      <c r="F36" s="12">
        <v>27905446.348999999</v>
      </c>
      <c r="G36" s="12">
        <v>25685674.409000002</v>
      </c>
      <c r="H36" s="12">
        <v>27979593.818999998</v>
      </c>
      <c r="I36" s="12">
        <v>26565341.155000001</v>
      </c>
    </row>
    <row r="37" spans="1:11" x14ac:dyDescent="0.3">
      <c r="A37" s="4"/>
      <c r="B37" s="4">
        <v>3</v>
      </c>
      <c r="C37" s="12"/>
      <c r="D37" s="12"/>
      <c r="E37" s="12"/>
      <c r="F37" s="12">
        <v>27848082.844999999</v>
      </c>
      <c r="G37" s="12">
        <v>26996918.489</v>
      </c>
      <c r="H37" s="12">
        <v>27893112.852000002</v>
      </c>
      <c r="I37" s="12">
        <v>25758503.241999999</v>
      </c>
    </row>
    <row r="38" spans="1:11" x14ac:dyDescent="0.3">
      <c r="C38" s="12"/>
      <c r="D38" s="12"/>
      <c r="E38" s="12"/>
      <c r="F38" s="12"/>
      <c r="G38" s="12"/>
      <c r="H38" s="12"/>
      <c r="I38" s="12"/>
    </row>
    <row r="39" spans="1:11" x14ac:dyDescent="0.3">
      <c r="C39" s="12"/>
      <c r="D39" s="12"/>
      <c r="E39" s="12"/>
      <c r="F39" s="12"/>
      <c r="G39" s="12"/>
      <c r="H39" s="12"/>
      <c r="I39" s="12"/>
    </row>
    <row r="40" spans="1:11" x14ac:dyDescent="0.3">
      <c r="C40" s="12"/>
      <c r="D40" s="12"/>
      <c r="E40" s="12"/>
      <c r="F40" s="12"/>
      <c r="G40" s="12"/>
      <c r="H40" s="12"/>
      <c r="I40" s="12"/>
    </row>
    <row r="41" spans="1:11" ht="18" x14ac:dyDescent="0.35">
      <c r="A41" s="7" t="s">
        <v>15</v>
      </c>
      <c r="B41" s="8"/>
      <c r="C41" s="14" t="s">
        <v>1</v>
      </c>
      <c r="D41" s="14" t="s">
        <v>2</v>
      </c>
      <c r="E41" s="14" t="s">
        <v>3</v>
      </c>
      <c r="F41" s="15" t="s">
        <v>4</v>
      </c>
      <c r="G41" s="15" t="s">
        <v>5</v>
      </c>
      <c r="H41" s="16" t="s">
        <v>6</v>
      </c>
      <c r="I41" s="16" t="s">
        <v>7</v>
      </c>
      <c r="J41" s="8"/>
      <c r="K41" s="8"/>
    </row>
    <row r="42" spans="1:11" x14ac:dyDescent="0.3">
      <c r="B42" s="4" t="s">
        <v>16</v>
      </c>
      <c r="C42" s="12" t="s">
        <v>17</v>
      </c>
      <c r="D42" s="12" t="s">
        <v>17</v>
      </c>
      <c r="E42" s="12" t="s">
        <v>17</v>
      </c>
      <c r="F42" s="12" t="s">
        <v>17</v>
      </c>
      <c r="G42" s="12" t="s">
        <v>17</v>
      </c>
      <c r="H42" s="12" t="s">
        <v>17</v>
      </c>
      <c r="I42" s="12" t="s">
        <v>17</v>
      </c>
    </row>
    <row r="43" spans="1:11" x14ac:dyDescent="0.3">
      <c r="A43" s="4" t="s">
        <v>13</v>
      </c>
      <c r="B43" s="4">
        <v>1</v>
      </c>
      <c r="C43" s="12">
        <v>28338023.206</v>
      </c>
      <c r="D43" s="12">
        <v>28148749.105999999</v>
      </c>
      <c r="E43" s="13"/>
      <c r="F43" s="12">
        <v>28615489.796</v>
      </c>
      <c r="G43" s="12">
        <v>18989973.826000001</v>
      </c>
      <c r="H43" s="12">
        <v>27706272.25</v>
      </c>
      <c r="I43" s="12">
        <v>15499914.722999999</v>
      </c>
    </row>
    <row r="44" spans="1:11" x14ac:dyDescent="0.3">
      <c r="A44" s="4"/>
      <c r="B44" s="4">
        <v>2</v>
      </c>
      <c r="C44" s="12">
        <v>28244742.030999999</v>
      </c>
      <c r="D44" s="12">
        <v>28102792.311000001</v>
      </c>
      <c r="E44" s="13"/>
      <c r="F44" s="12">
        <v>28105094.884</v>
      </c>
      <c r="G44" s="12">
        <v>19660746.660999998</v>
      </c>
      <c r="H44" s="12">
        <v>27857850.5</v>
      </c>
      <c r="I44" s="12">
        <v>19788614.511999998</v>
      </c>
    </row>
    <row r="45" spans="1:11" x14ac:dyDescent="0.3">
      <c r="A45" s="4"/>
      <c r="B45" s="4">
        <v>3</v>
      </c>
      <c r="C45" s="12"/>
      <c r="D45" s="12"/>
      <c r="E45" s="13"/>
      <c r="F45" s="12">
        <v>28440350.910999998</v>
      </c>
      <c r="G45" s="12">
        <v>20442728.969000001</v>
      </c>
      <c r="H45" s="12">
        <v>27392478.719999999</v>
      </c>
      <c r="I45" s="12">
        <v>17591224.848999999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5"/>
  <sheetViews>
    <sheetView tabSelected="1" topLeftCell="F1" workbookViewId="0">
      <selection activeCell="O10" sqref="O10"/>
    </sheetView>
  </sheetViews>
  <sheetFormatPr defaultRowHeight="14.4" x14ac:dyDescent="0.3"/>
  <cols>
    <col min="1" max="1" width="13" customWidth="1"/>
    <col min="2" max="2" width="11.44140625" bestFit="1" customWidth="1"/>
    <col min="3" max="3" width="21.6640625" bestFit="1" customWidth="1"/>
    <col min="4" max="4" width="24.44140625" bestFit="1" customWidth="1"/>
    <col min="5" max="5" width="35" bestFit="1" customWidth="1"/>
    <col min="6" max="9" width="21.6640625" bestFit="1" customWidth="1"/>
    <col min="11" max="11" width="10.44140625" bestFit="1" customWidth="1"/>
    <col min="12" max="12" width="32" bestFit="1" customWidth="1"/>
    <col min="13" max="15" width="19.33203125" bestFit="1" customWidth="1"/>
    <col min="17" max="18" width="11.6640625" bestFit="1" customWidth="1"/>
  </cols>
  <sheetData>
    <row r="1" spans="1:18" ht="18" x14ac:dyDescent="0.35">
      <c r="A1" s="1" t="s">
        <v>0</v>
      </c>
      <c r="C1" s="3" t="s">
        <v>1</v>
      </c>
      <c r="D1" s="3" t="s">
        <v>2</v>
      </c>
      <c r="E1" s="3" t="s">
        <v>3</v>
      </c>
      <c r="F1" s="6" t="s">
        <v>4</v>
      </c>
      <c r="G1" s="6" t="s">
        <v>5</v>
      </c>
      <c r="H1" s="5" t="s">
        <v>6</v>
      </c>
      <c r="I1" s="5" t="s">
        <v>7</v>
      </c>
      <c r="J1" s="1" t="s">
        <v>25</v>
      </c>
      <c r="K1" s="1" t="s">
        <v>20</v>
      </c>
    </row>
    <row r="2" spans="1:18" x14ac:dyDescent="0.3">
      <c r="B2" s="4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L2" s="4" t="s">
        <v>25</v>
      </c>
      <c r="M2" s="4" t="s">
        <v>53</v>
      </c>
      <c r="N2" s="4" t="s">
        <v>54</v>
      </c>
      <c r="O2" s="4" t="s">
        <v>55</v>
      </c>
      <c r="Q2" s="21"/>
    </row>
    <row r="3" spans="1:18" x14ac:dyDescent="0.3">
      <c r="A3" s="4" t="s">
        <v>13</v>
      </c>
      <c r="B3" s="4">
        <v>1</v>
      </c>
      <c r="C3" s="12">
        <v>25839.352200000001</v>
      </c>
      <c r="D3" s="12">
        <v>23306.287899999999</v>
      </c>
      <c r="E3" s="12">
        <v>19871.2173</v>
      </c>
      <c r="F3" s="12">
        <v>27798.6041</v>
      </c>
      <c r="G3" s="12">
        <v>67035.128299999997</v>
      </c>
      <c r="H3" s="12">
        <v>29843.048900000002</v>
      </c>
      <c r="I3" s="12">
        <v>66684.087499999994</v>
      </c>
      <c r="M3" s="4" t="s">
        <v>56</v>
      </c>
      <c r="N3" s="4" t="s">
        <v>56</v>
      </c>
      <c r="O3" s="4" t="s">
        <v>56</v>
      </c>
      <c r="Q3" s="22">
        <v>0</v>
      </c>
      <c r="R3" s="22">
        <v>11000</v>
      </c>
    </row>
    <row r="4" spans="1:18" x14ac:dyDescent="0.3">
      <c r="A4" s="4"/>
      <c r="B4" s="4">
        <v>2</v>
      </c>
      <c r="C4" s="12">
        <v>29897.797900000001</v>
      </c>
      <c r="D4" s="12">
        <v>17713.746200000001</v>
      </c>
      <c r="E4" s="12">
        <v>25268.9476</v>
      </c>
      <c r="F4" s="12">
        <v>28712.549500000001</v>
      </c>
      <c r="G4" s="12">
        <v>68715.994399999996</v>
      </c>
      <c r="H4" s="12">
        <v>28491.7065</v>
      </c>
      <c r="I4" s="12">
        <v>63654.796399999999</v>
      </c>
      <c r="L4" s="3" t="s">
        <v>1</v>
      </c>
      <c r="M4" s="17">
        <f>AVERAGE(C3:C5)</f>
        <v>27868.575049999999</v>
      </c>
      <c r="N4" s="17">
        <f>AVERAGE(C11:C13)</f>
        <v>41987.873049999995</v>
      </c>
      <c r="O4" s="17">
        <f>AVERAGE(C19:C21)</f>
        <v>49541.151100000003</v>
      </c>
    </row>
    <row r="5" spans="1:18" x14ac:dyDescent="0.3">
      <c r="A5" s="4"/>
      <c r="B5" s="4">
        <v>3</v>
      </c>
      <c r="C5" s="12"/>
      <c r="D5" s="12"/>
      <c r="E5" s="12"/>
      <c r="F5" s="12">
        <v>30126.160599999999</v>
      </c>
      <c r="G5" s="12">
        <v>62819.901400000002</v>
      </c>
      <c r="H5" s="12">
        <v>32542.683799999999</v>
      </c>
      <c r="I5" s="12">
        <v>65923.433600000004</v>
      </c>
      <c r="L5" s="3" t="s">
        <v>2</v>
      </c>
      <c r="M5" s="17">
        <f>AVERAGE(D3:D5)</f>
        <v>20510.017050000002</v>
      </c>
      <c r="N5" s="17">
        <f>AVERAGE(D11:D13)</f>
        <v>26011.9889</v>
      </c>
      <c r="O5" s="17">
        <f>AVERAGE(D19:D21)</f>
        <v>28729.83785</v>
      </c>
    </row>
    <row r="6" spans="1:18" x14ac:dyDescent="0.3">
      <c r="B6" s="4" t="s">
        <v>52</v>
      </c>
      <c r="L6" s="3" t="s">
        <v>3</v>
      </c>
      <c r="M6" s="17">
        <f>AVERAGE(E3:E5)</f>
        <v>22570.082450000002</v>
      </c>
      <c r="N6" s="17">
        <f>AVERAGE(E11:E13)</f>
        <v>29329.681149999997</v>
      </c>
      <c r="O6" s="17">
        <f>AVERAGE(E19:E21)</f>
        <v>29329.681149999997</v>
      </c>
    </row>
    <row r="7" spans="1:18" x14ac:dyDescent="0.3">
      <c r="C7" s="12"/>
      <c r="D7" s="12"/>
      <c r="E7" s="12"/>
      <c r="F7" s="12"/>
      <c r="G7" s="12"/>
      <c r="H7" s="12"/>
      <c r="I7" s="12"/>
      <c r="L7" s="6" t="s">
        <v>4</v>
      </c>
      <c r="M7" s="17">
        <f>AVERAGE(F3:F5)</f>
        <v>28879.104733333337</v>
      </c>
      <c r="N7" s="17">
        <f>AVERAGE(F11:F13)</f>
        <v>39089.786933333329</v>
      </c>
      <c r="O7" s="17">
        <f>AVERAGE(F19:F21)</f>
        <v>42402.174700000003</v>
      </c>
    </row>
    <row r="8" spans="1:18" x14ac:dyDescent="0.3">
      <c r="C8" s="12"/>
      <c r="D8" s="12"/>
      <c r="E8" s="12"/>
      <c r="F8" s="12"/>
      <c r="G8" s="12"/>
      <c r="H8" s="12"/>
      <c r="I8" s="12"/>
      <c r="L8" s="6" t="s">
        <v>5</v>
      </c>
      <c r="M8" s="17">
        <f>AVERAGE(G3:G5)</f>
        <v>66190.341366666675</v>
      </c>
      <c r="N8" s="17">
        <f>AVERAGE(G11:G13)</f>
        <v>576893.41576666664</v>
      </c>
      <c r="O8" s="17">
        <f>AVERAGE(G19:G21)</f>
        <v>763346.18773333321</v>
      </c>
    </row>
    <row r="9" spans="1:18" ht="18" x14ac:dyDescent="0.35">
      <c r="A9" s="1" t="s">
        <v>14</v>
      </c>
      <c r="C9" s="18" t="s">
        <v>1</v>
      </c>
      <c r="D9" s="18" t="s">
        <v>2</v>
      </c>
      <c r="E9" s="18" t="s">
        <v>3</v>
      </c>
      <c r="F9" s="19" t="s">
        <v>4</v>
      </c>
      <c r="G9" s="19" t="s">
        <v>5</v>
      </c>
      <c r="H9" s="20" t="s">
        <v>6</v>
      </c>
      <c r="I9" s="20" t="s">
        <v>7</v>
      </c>
      <c r="L9" s="5" t="s">
        <v>6</v>
      </c>
      <c r="M9" s="17">
        <f>AVERAGE(H3:H5)</f>
        <v>30292.47973333333</v>
      </c>
      <c r="N9" s="17">
        <f>AVERAGE(H11:H13)</f>
        <v>34025.622900000002</v>
      </c>
      <c r="O9" s="17">
        <f>AVERAGE(H19:H21)</f>
        <v>36256.316666666666</v>
      </c>
    </row>
    <row r="10" spans="1:18" x14ac:dyDescent="0.3">
      <c r="B10" s="4" t="s">
        <v>11</v>
      </c>
      <c r="C10" s="12" t="s">
        <v>12</v>
      </c>
      <c r="D10" s="12" t="s">
        <v>12</v>
      </c>
      <c r="E10" s="12" t="s">
        <v>12</v>
      </c>
      <c r="F10" s="12" t="s">
        <v>12</v>
      </c>
      <c r="G10" s="12" t="s">
        <v>12</v>
      </c>
      <c r="H10" s="12" t="s">
        <v>12</v>
      </c>
      <c r="I10" s="12" t="s">
        <v>12</v>
      </c>
      <c r="L10" s="5" t="s">
        <v>7</v>
      </c>
      <c r="M10" s="17">
        <f>AVERAGE(I3:I5)</f>
        <v>65420.772499999999</v>
      </c>
      <c r="N10" s="17">
        <f>AVERAGE(I11:I13)</f>
        <v>551518.65850000002</v>
      </c>
      <c r="O10" s="17">
        <f>AVERAGE(I19:I21)</f>
        <v>562365.54536666663</v>
      </c>
    </row>
    <row r="11" spans="1:18" x14ac:dyDescent="0.3">
      <c r="A11" s="4" t="s">
        <v>13</v>
      </c>
      <c r="B11" s="4">
        <v>1</v>
      </c>
      <c r="C11" s="12">
        <v>41830.544399999999</v>
      </c>
      <c r="D11" s="12">
        <v>25052.054700000001</v>
      </c>
      <c r="E11" s="12">
        <v>29816.113399999998</v>
      </c>
      <c r="F11" s="12">
        <v>39803.281900000002</v>
      </c>
      <c r="G11" s="12">
        <v>640954.41700000002</v>
      </c>
      <c r="H11" s="12">
        <v>33914.3966</v>
      </c>
      <c r="I11" s="12">
        <v>600986.55000000005</v>
      </c>
    </row>
    <row r="12" spans="1:18" x14ac:dyDescent="0.3">
      <c r="A12" s="4"/>
      <c r="B12" s="4">
        <v>2</v>
      </c>
      <c r="C12" s="12">
        <v>42145.201699999998</v>
      </c>
      <c r="D12" s="12">
        <v>26971.9231</v>
      </c>
      <c r="E12" s="12">
        <v>28843.248899999999</v>
      </c>
      <c r="F12" s="12">
        <v>39282.555999999997</v>
      </c>
      <c r="G12" s="12">
        <v>522222.26419999998</v>
      </c>
      <c r="H12" s="12">
        <v>32710.5039</v>
      </c>
      <c r="I12" s="12">
        <v>505864.06310000003</v>
      </c>
    </row>
    <row r="13" spans="1:18" x14ac:dyDescent="0.3">
      <c r="A13" s="4"/>
      <c r="B13" s="4">
        <v>3</v>
      </c>
      <c r="C13" s="12"/>
      <c r="D13" s="12"/>
      <c r="E13" s="12"/>
      <c r="F13" s="12">
        <v>38183.522900000004</v>
      </c>
      <c r="G13" s="12">
        <v>567503.56610000005</v>
      </c>
      <c r="H13" s="12">
        <v>35451.968200000003</v>
      </c>
      <c r="I13" s="12">
        <v>547705.36239999998</v>
      </c>
    </row>
    <row r="14" spans="1:18" x14ac:dyDescent="0.3">
      <c r="B14" s="4" t="s">
        <v>52</v>
      </c>
    </row>
    <row r="15" spans="1:18" x14ac:dyDescent="0.3">
      <c r="C15" s="12"/>
      <c r="D15" s="12"/>
      <c r="E15" s="12"/>
      <c r="F15" s="12"/>
      <c r="G15" s="12"/>
      <c r="H15" s="12"/>
      <c r="I15" s="12"/>
    </row>
    <row r="16" spans="1:18" x14ac:dyDescent="0.3">
      <c r="C16" s="12"/>
      <c r="D16" s="12"/>
      <c r="E16" s="12"/>
      <c r="F16" s="12"/>
      <c r="G16" s="12"/>
      <c r="H16" s="12"/>
      <c r="I16" s="12"/>
    </row>
    <row r="17" spans="1:9" ht="18" x14ac:dyDescent="0.35">
      <c r="A17" s="1" t="s">
        <v>15</v>
      </c>
      <c r="C17" s="18" t="s">
        <v>1</v>
      </c>
      <c r="D17" s="18" t="s">
        <v>2</v>
      </c>
      <c r="E17" s="18" t="s">
        <v>3</v>
      </c>
      <c r="F17" s="19" t="s">
        <v>4</v>
      </c>
      <c r="G17" s="19" t="s">
        <v>5</v>
      </c>
      <c r="H17" s="20" t="s">
        <v>6</v>
      </c>
      <c r="I17" s="20" t="s">
        <v>7</v>
      </c>
    </row>
    <row r="18" spans="1:9" x14ac:dyDescent="0.3">
      <c r="B18" s="4" t="s">
        <v>11</v>
      </c>
      <c r="C18" s="12" t="s">
        <v>12</v>
      </c>
      <c r="D18" s="12" t="s">
        <v>12</v>
      </c>
      <c r="E18" s="12" t="s">
        <v>12</v>
      </c>
      <c r="F18" s="12" t="s">
        <v>12</v>
      </c>
      <c r="G18" s="12" t="s">
        <v>12</v>
      </c>
      <c r="H18" s="12" t="s">
        <v>12</v>
      </c>
      <c r="I18" s="12" t="s">
        <v>12</v>
      </c>
    </row>
    <row r="19" spans="1:9" x14ac:dyDescent="0.3">
      <c r="A19" s="4" t="s">
        <v>13</v>
      </c>
      <c r="B19" s="4">
        <v>1</v>
      </c>
      <c r="C19" s="12">
        <v>50284.616999999998</v>
      </c>
      <c r="D19" s="12">
        <v>28755.010900000001</v>
      </c>
      <c r="E19" s="12">
        <v>29816.113399999998</v>
      </c>
      <c r="F19" s="12">
        <v>44170.679300000003</v>
      </c>
      <c r="G19" s="12">
        <v>741808.91610000003</v>
      </c>
      <c r="H19" s="12">
        <v>36348.034299999999</v>
      </c>
      <c r="I19" s="12">
        <v>585819.59629999998</v>
      </c>
    </row>
    <row r="20" spans="1:9" x14ac:dyDescent="0.3">
      <c r="A20" s="4"/>
      <c r="B20" s="4">
        <v>2</v>
      </c>
      <c r="C20" s="12">
        <v>48797.6852</v>
      </c>
      <c r="D20" s="12">
        <v>28704.664799999999</v>
      </c>
      <c r="E20" s="12">
        <v>28843.248899999999</v>
      </c>
      <c r="F20" s="12">
        <v>39448.598899999997</v>
      </c>
      <c r="G20" s="12">
        <v>767990.35939999996</v>
      </c>
      <c r="H20" s="12">
        <v>36662.388099999996</v>
      </c>
      <c r="I20" s="12">
        <v>616226.16960000002</v>
      </c>
    </row>
    <row r="21" spans="1:9" x14ac:dyDescent="0.3">
      <c r="A21" s="4"/>
      <c r="B21" s="4">
        <v>3</v>
      </c>
      <c r="C21" s="12"/>
      <c r="D21" s="12"/>
      <c r="E21" s="12"/>
      <c r="F21" s="12">
        <v>43587.245900000002</v>
      </c>
      <c r="G21" s="12">
        <v>780239.28769999999</v>
      </c>
      <c r="H21" s="12">
        <v>35758.527600000001</v>
      </c>
      <c r="I21" s="12">
        <v>485050.8702</v>
      </c>
    </row>
    <row r="22" spans="1:9" x14ac:dyDescent="0.3">
      <c r="B22" s="4" t="s">
        <v>52</v>
      </c>
      <c r="E22" s="12">
        <f>AVERAGE(E19:E21)</f>
        <v>29329.681149999997</v>
      </c>
      <c r="F22" s="12">
        <f t="shared" ref="F22:I22" si="0">AVERAGE(F19:F21)</f>
        <v>42402.174700000003</v>
      </c>
      <c r="G22" s="12">
        <f t="shared" si="0"/>
        <v>763346.18773333321</v>
      </c>
      <c r="H22" s="12">
        <f t="shared" si="0"/>
        <v>36256.316666666666</v>
      </c>
      <c r="I22" s="12">
        <f t="shared" si="0"/>
        <v>562365.54536666663</v>
      </c>
    </row>
    <row r="23" spans="1:9" x14ac:dyDescent="0.3">
      <c r="C23" s="12"/>
      <c r="D23" s="12"/>
      <c r="E23" s="12"/>
      <c r="F23" s="12"/>
      <c r="G23" s="12"/>
      <c r="H23" s="12"/>
      <c r="I23" s="12"/>
    </row>
    <row r="24" spans="1:9" x14ac:dyDescent="0.3">
      <c r="C24" s="12"/>
      <c r="D24" s="12"/>
      <c r="E24" s="12"/>
      <c r="F24" s="12"/>
      <c r="G24" s="12"/>
      <c r="H24" s="12"/>
      <c r="I24" s="12"/>
    </row>
    <row r="25" spans="1:9" ht="18" x14ac:dyDescent="0.35">
      <c r="A25" s="7" t="s">
        <v>0</v>
      </c>
      <c r="B25" s="8"/>
      <c r="C25" s="14" t="s">
        <v>1</v>
      </c>
      <c r="D25" s="14" t="s">
        <v>2</v>
      </c>
      <c r="E25" s="14" t="s">
        <v>3</v>
      </c>
      <c r="F25" s="15" t="s">
        <v>4</v>
      </c>
      <c r="G25" s="15" t="s">
        <v>5</v>
      </c>
      <c r="H25" s="16" t="s">
        <v>6</v>
      </c>
      <c r="I25" s="16" t="s">
        <v>7</v>
      </c>
    </row>
    <row r="26" spans="1:9" x14ac:dyDescent="0.3">
      <c r="B26" s="4" t="s">
        <v>16</v>
      </c>
      <c r="C26" s="12" t="s">
        <v>17</v>
      </c>
      <c r="D26" s="12" t="s">
        <v>17</v>
      </c>
      <c r="E26" s="12" t="s">
        <v>17</v>
      </c>
      <c r="F26" s="12" t="s">
        <v>17</v>
      </c>
      <c r="G26" s="12" t="s">
        <v>17</v>
      </c>
      <c r="H26" s="12" t="s">
        <v>17</v>
      </c>
      <c r="I26" s="12" t="s">
        <v>17</v>
      </c>
    </row>
    <row r="27" spans="1:9" x14ac:dyDescent="0.3">
      <c r="A27" s="4" t="s">
        <v>13</v>
      </c>
      <c r="B27" s="4">
        <v>1</v>
      </c>
      <c r="C27" s="12">
        <v>624817.64300000004</v>
      </c>
      <c r="D27" s="12">
        <v>467809.62099999998</v>
      </c>
      <c r="E27" s="12">
        <v>394783.08199999999</v>
      </c>
      <c r="F27" s="12">
        <v>548433.82400000002</v>
      </c>
      <c r="G27" s="12">
        <v>1545062.625</v>
      </c>
      <c r="H27" s="12">
        <v>589251.21600000001</v>
      </c>
      <c r="I27" s="12">
        <v>1575470.1259999999</v>
      </c>
    </row>
    <row r="28" spans="1:9" x14ac:dyDescent="0.3">
      <c r="A28" s="4"/>
      <c r="B28" s="4">
        <v>2</v>
      </c>
      <c r="C28" s="12">
        <v>717160.48300000001</v>
      </c>
      <c r="D28" s="12">
        <v>394060.01899999997</v>
      </c>
      <c r="E28" s="12">
        <v>524034.27399999998</v>
      </c>
      <c r="F28" s="12">
        <v>564862.70799999998</v>
      </c>
      <c r="G28" s="12">
        <v>1612942.0759999999</v>
      </c>
      <c r="H28" s="12">
        <v>555162.53700000001</v>
      </c>
      <c r="I28" s="12">
        <v>1455184.75</v>
      </c>
    </row>
    <row r="29" spans="1:9" x14ac:dyDescent="0.3">
      <c r="A29" s="4"/>
      <c r="B29" s="4">
        <v>3</v>
      </c>
      <c r="C29" s="12"/>
      <c r="D29" s="12"/>
      <c r="E29" s="12"/>
      <c r="F29" s="12">
        <v>590415.41500000004</v>
      </c>
      <c r="G29" s="12">
        <v>1455929.375</v>
      </c>
      <c r="H29" s="12">
        <v>622898.31299999997</v>
      </c>
      <c r="I29" s="12">
        <v>1550098.237</v>
      </c>
    </row>
    <row r="30" spans="1:9" x14ac:dyDescent="0.3">
      <c r="C30" s="12"/>
      <c r="D30" s="12"/>
      <c r="E30" s="12"/>
      <c r="F30" s="12"/>
      <c r="G30" s="12"/>
      <c r="H30" s="12"/>
      <c r="I30" s="12"/>
    </row>
    <row r="31" spans="1:9" x14ac:dyDescent="0.3">
      <c r="C31" s="12"/>
      <c r="D31" s="12"/>
      <c r="E31" s="12"/>
      <c r="F31" s="12"/>
      <c r="G31" s="12"/>
      <c r="H31" s="12"/>
      <c r="I31" s="12"/>
    </row>
    <row r="32" spans="1:9" x14ac:dyDescent="0.3">
      <c r="C32" s="12"/>
      <c r="D32" s="12"/>
      <c r="E32" s="12"/>
      <c r="F32" s="12"/>
      <c r="G32" s="12"/>
      <c r="H32" s="12"/>
      <c r="I32" s="12"/>
    </row>
    <row r="33" spans="1:9" ht="18" x14ac:dyDescent="0.35">
      <c r="A33" s="7" t="s">
        <v>14</v>
      </c>
      <c r="B33" s="8"/>
      <c r="C33" s="14" t="s">
        <v>1</v>
      </c>
      <c r="D33" s="14" t="s">
        <v>2</v>
      </c>
      <c r="E33" s="14" t="s">
        <v>3</v>
      </c>
      <c r="F33" s="15" t="s">
        <v>4</v>
      </c>
      <c r="G33" s="15" t="s">
        <v>5</v>
      </c>
      <c r="H33" s="16" t="s">
        <v>6</v>
      </c>
      <c r="I33" s="16" t="s">
        <v>7</v>
      </c>
    </row>
    <row r="34" spans="1:9" x14ac:dyDescent="0.3">
      <c r="B34" s="4" t="s">
        <v>16</v>
      </c>
      <c r="C34" s="12" t="s">
        <v>17</v>
      </c>
      <c r="D34" s="12" t="s">
        <v>17</v>
      </c>
      <c r="E34" s="12" t="s">
        <v>17</v>
      </c>
      <c r="F34" s="12" t="s">
        <v>17</v>
      </c>
      <c r="G34" s="12" t="s">
        <v>17</v>
      </c>
      <c r="H34" s="12" t="s">
        <v>17</v>
      </c>
      <c r="I34" s="12" t="s">
        <v>17</v>
      </c>
    </row>
    <row r="35" spans="1:9" x14ac:dyDescent="0.3">
      <c r="A35" s="4" t="s">
        <v>13</v>
      </c>
      <c r="B35" s="4">
        <v>1</v>
      </c>
      <c r="C35" s="12">
        <v>928017.47100000002</v>
      </c>
      <c r="D35" s="12">
        <v>504396.50400000002</v>
      </c>
      <c r="E35" s="12">
        <v>578026.09900000005</v>
      </c>
      <c r="F35" s="12">
        <v>778425.73400000005</v>
      </c>
      <c r="G35" s="12">
        <v>9390703.2369999997</v>
      </c>
      <c r="H35" s="12">
        <v>661774.24</v>
      </c>
      <c r="I35" s="12">
        <v>8884720.7290000003</v>
      </c>
    </row>
    <row r="36" spans="1:9" x14ac:dyDescent="0.3">
      <c r="A36" s="4"/>
      <c r="B36" s="4">
        <v>2</v>
      </c>
      <c r="C36" s="12">
        <v>891603.03700000001</v>
      </c>
      <c r="D36" s="12">
        <v>539634.77899999998</v>
      </c>
      <c r="E36" s="12">
        <v>571475.84900000005</v>
      </c>
      <c r="F36" s="12">
        <v>767303.174</v>
      </c>
      <c r="G36" s="12">
        <v>7987396.1129999999</v>
      </c>
      <c r="H36" s="12">
        <v>641271.91200000001</v>
      </c>
      <c r="I36" s="12">
        <v>7968183.8899999997</v>
      </c>
    </row>
    <row r="37" spans="1:9" x14ac:dyDescent="0.3">
      <c r="A37" s="4"/>
      <c r="B37" s="4">
        <v>3</v>
      </c>
      <c r="C37" s="12"/>
      <c r="D37" s="12"/>
      <c r="E37" s="12"/>
      <c r="F37" s="12">
        <v>731187.64300000004</v>
      </c>
      <c r="G37" s="12">
        <v>8496331.9279999994</v>
      </c>
      <c r="H37" s="12">
        <v>697125.67500000005</v>
      </c>
      <c r="I37" s="12">
        <v>8456071.2129999995</v>
      </c>
    </row>
    <row r="38" spans="1:9" x14ac:dyDescent="0.3">
      <c r="C38" s="12"/>
      <c r="D38" s="12"/>
      <c r="E38" s="12"/>
      <c r="F38" s="12"/>
      <c r="G38" s="12"/>
      <c r="H38" s="12"/>
      <c r="I38" s="12"/>
    </row>
    <row r="39" spans="1:9" x14ac:dyDescent="0.3">
      <c r="C39" s="12"/>
      <c r="D39" s="12"/>
      <c r="E39" s="12"/>
      <c r="F39" s="12"/>
      <c r="G39" s="12"/>
      <c r="H39" s="12"/>
      <c r="I39" s="12"/>
    </row>
    <row r="40" spans="1:9" x14ac:dyDescent="0.3">
      <c r="C40" s="12"/>
      <c r="D40" s="12"/>
      <c r="E40" s="12"/>
      <c r="F40" s="12"/>
      <c r="G40" s="12"/>
      <c r="H40" s="12"/>
      <c r="I40" s="12"/>
    </row>
    <row r="41" spans="1:9" ht="18" x14ac:dyDescent="0.35">
      <c r="A41" s="7" t="s">
        <v>15</v>
      </c>
      <c r="B41" s="8"/>
      <c r="C41" s="14" t="s">
        <v>1</v>
      </c>
      <c r="D41" s="14" t="s">
        <v>2</v>
      </c>
      <c r="E41" s="14" t="s">
        <v>3</v>
      </c>
      <c r="F41" s="15" t="s">
        <v>4</v>
      </c>
      <c r="G41" s="15" t="s">
        <v>5</v>
      </c>
      <c r="H41" s="16" t="s">
        <v>6</v>
      </c>
      <c r="I41" s="16" t="s">
        <v>7</v>
      </c>
    </row>
    <row r="42" spans="1:9" x14ac:dyDescent="0.3">
      <c r="B42" s="4" t="s">
        <v>16</v>
      </c>
      <c r="C42" s="12" t="s">
        <v>17</v>
      </c>
      <c r="D42" s="12" t="s">
        <v>17</v>
      </c>
      <c r="E42" s="12" t="s">
        <v>17</v>
      </c>
      <c r="F42" s="12" t="s">
        <v>17</v>
      </c>
      <c r="G42" s="12" t="s">
        <v>17</v>
      </c>
      <c r="H42" s="12" t="s">
        <v>17</v>
      </c>
      <c r="I42" s="12" t="s">
        <v>17</v>
      </c>
    </row>
    <row r="43" spans="1:9" x14ac:dyDescent="0.3">
      <c r="A43" s="4" t="s">
        <v>13</v>
      </c>
      <c r="B43" s="4">
        <v>1</v>
      </c>
      <c r="C43" s="12">
        <v>1192508.05</v>
      </c>
      <c r="D43" s="12">
        <v>552772.26699999999</v>
      </c>
      <c r="E43" s="13"/>
      <c r="F43" s="12">
        <v>859387.70499999996</v>
      </c>
      <c r="G43" s="12">
        <v>10144401.352</v>
      </c>
      <c r="H43" s="12">
        <v>659210.06099999999</v>
      </c>
      <c r="I43" s="12">
        <v>7804244.142</v>
      </c>
    </row>
    <row r="44" spans="1:9" x14ac:dyDescent="0.3">
      <c r="A44" s="4"/>
      <c r="B44" s="4">
        <v>2</v>
      </c>
      <c r="C44" s="12">
        <v>1130696.308</v>
      </c>
      <c r="D44" s="12">
        <v>557183.27599999995</v>
      </c>
      <c r="E44" s="13"/>
      <c r="F44" s="12">
        <v>781237.28300000005</v>
      </c>
      <c r="G44" s="12">
        <v>10200566.359999999</v>
      </c>
      <c r="H44" s="12">
        <v>682432.18700000003</v>
      </c>
      <c r="I44" s="12">
        <v>8504846.4169999994</v>
      </c>
    </row>
    <row r="45" spans="1:9" x14ac:dyDescent="0.3">
      <c r="A45" s="4"/>
      <c r="B45" s="4">
        <v>3</v>
      </c>
      <c r="C45" s="12"/>
      <c r="D45" s="12"/>
      <c r="E45" s="13"/>
      <c r="F45" s="12">
        <v>837188.06900000002</v>
      </c>
      <c r="G45" s="12">
        <v>10562465.470000001</v>
      </c>
      <c r="H45" s="12">
        <v>643705.18200000003</v>
      </c>
      <c r="I45" s="12">
        <v>6530622.7209999999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5"/>
  <sheetViews>
    <sheetView topLeftCell="H1" workbookViewId="0">
      <selection activeCell="O10" sqref="O10"/>
    </sheetView>
  </sheetViews>
  <sheetFormatPr defaultRowHeight="14.4" x14ac:dyDescent="0.3"/>
  <cols>
    <col min="2" max="2" width="11.44140625" bestFit="1" customWidth="1"/>
    <col min="3" max="3" width="19.5546875" bestFit="1" customWidth="1"/>
    <col min="4" max="4" width="24.44140625" bestFit="1" customWidth="1"/>
    <col min="5" max="5" width="35" bestFit="1" customWidth="1"/>
    <col min="6" max="6" width="19.5546875" bestFit="1" customWidth="1"/>
    <col min="7" max="7" width="22.6640625" bestFit="1" customWidth="1"/>
    <col min="8" max="8" width="19.5546875" bestFit="1" customWidth="1"/>
    <col min="9" max="9" width="22.6640625" bestFit="1" customWidth="1"/>
    <col min="10" max="10" width="11" bestFit="1" customWidth="1"/>
    <col min="11" max="11" width="11.88671875" bestFit="1" customWidth="1"/>
    <col min="12" max="12" width="32" bestFit="1" customWidth="1"/>
    <col min="13" max="15" width="19.33203125" bestFit="1" customWidth="1"/>
  </cols>
  <sheetData>
    <row r="1" spans="1:15" ht="18" x14ac:dyDescent="0.35">
      <c r="A1" s="1" t="s">
        <v>0</v>
      </c>
      <c r="C1" s="3" t="s">
        <v>1</v>
      </c>
      <c r="D1" s="3" t="s">
        <v>2</v>
      </c>
      <c r="E1" s="3" t="s">
        <v>3</v>
      </c>
      <c r="F1" s="6" t="s">
        <v>4</v>
      </c>
      <c r="G1" s="6" t="s">
        <v>5</v>
      </c>
      <c r="H1" s="5" t="s">
        <v>6</v>
      </c>
      <c r="I1" s="5" t="s">
        <v>7</v>
      </c>
      <c r="J1" s="1" t="s">
        <v>24</v>
      </c>
      <c r="K1" s="1" t="s">
        <v>21</v>
      </c>
    </row>
    <row r="2" spans="1:15" x14ac:dyDescent="0.3">
      <c r="B2" s="4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L2" s="4" t="s">
        <v>24</v>
      </c>
      <c r="M2" s="4" t="s">
        <v>53</v>
      </c>
      <c r="N2" s="4" t="s">
        <v>54</v>
      </c>
      <c r="O2" s="4" t="s">
        <v>55</v>
      </c>
    </row>
    <row r="3" spans="1:15" x14ac:dyDescent="0.3">
      <c r="A3" s="4" t="s">
        <v>13</v>
      </c>
      <c r="B3" s="4">
        <v>1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M3" s="4" t="s">
        <v>56</v>
      </c>
      <c r="N3" s="4" t="s">
        <v>56</v>
      </c>
      <c r="O3" s="4" t="s">
        <v>56</v>
      </c>
    </row>
    <row r="4" spans="1:15" x14ac:dyDescent="0.3">
      <c r="A4" s="4"/>
      <c r="B4" s="4">
        <v>2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L4" s="3" t="s">
        <v>1</v>
      </c>
      <c r="M4">
        <v>0</v>
      </c>
      <c r="N4" s="17">
        <f>AVERAGE(C11:C13)</f>
        <v>0</v>
      </c>
      <c r="O4" s="17">
        <f>AVERAGE(C19:C21)</f>
        <v>168.35894999999999</v>
      </c>
    </row>
    <row r="5" spans="1:15" x14ac:dyDescent="0.3">
      <c r="A5" s="4"/>
      <c r="B5" s="4">
        <v>3</v>
      </c>
      <c r="C5" s="12"/>
      <c r="D5" s="12"/>
      <c r="E5" s="12"/>
      <c r="F5" s="12">
        <v>0</v>
      </c>
      <c r="G5" s="12">
        <v>0</v>
      </c>
      <c r="H5" s="12">
        <v>0</v>
      </c>
      <c r="I5" s="12">
        <v>0</v>
      </c>
      <c r="L5" s="3" t="s">
        <v>2</v>
      </c>
      <c r="M5">
        <v>0</v>
      </c>
      <c r="N5" s="17">
        <f>AVERAGE(D11:D13)</f>
        <v>0</v>
      </c>
      <c r="O5" s="17">
        <f>AVERAGE(D19:D21)</f>
        <v>45.832349999999998</v>
      </c>
    </row>
    <row r="6" spans="1:15" x14ac:dyDescent="0.3">
      <c r="B6" s="4" t="s">
        <v>52</v>
      </c>
      <c r="C6" s="17">
        <f>AVERAGE(C3:C5)</f>
        <v>0</v>
      </c>
      <c r="D6" s="17">
        <f t="shared" ref="D6:I6" si="0">AVERAGE(D3:D5)</f>
        <v>0</v>
      </c>
      <c r="E6" s="17">
        <f t="shared" si="0"/>
        <v>0</v>
      </c>
      <c r="F6" s="17">
        <f t="shared" si="0"/>
        <v>0</v>
      </c>
      <c r="G6" s="17">
        <f t="shared" si="0"/>
        <v>0</v>
      </c>
      <c r="H6" s="17">
        <f t="shared" si="0"/>
        <v>0</v>
      </c>
      <c r="I6" s="17">
        <f t="shared" si="0"/>
        <v>0</v>
      </c>
      <c r="L6" s="3" t="s">
        <v>3</v>
      </c>
      <c r="M6">
        <v>0</v>
      </c>
      <c r="N6" s="17">
        <f>AVERAGE(E11:E13)</f>
        <v>0</v>
      </c>
      <c r="O6" s="17">
        <f>AVERAGE(E19:E21)</f>
        <v>0</v>
      </c>
    </row>
    <row r="7" spans="1:15" x14ac:dyDescent="0.3">
      <c r="C7" s="12"/>
      <c r="D7" s="12"/>
      <c r="E7" s="12"/>
      <c r="F7" s="12"/>
      <c r="G7" s="12"/>
      <c r="H7" s="12"/>
      <c r="I7" s="12"/>
      <c r="L7" s="6" t="s">
        <v>4</v>
      </c>
      <c r="M7">
        <v>0</v>
      </c>
      <c r="N7" s="17">
        <f>AVERAGE(F11:F13)</f>
        <v>392.33333333333331</v>
      </c>
      <c r="O7" s="17">
        <f>AVERAGE(F19:F21)</f>
        <v>473.6230333333333</v>
      </c>
    </row>
    <row r="8" spans="1:15" x14ac:dyDescent="0.3">
      <c r="C8" s="12"/>
      <c r="D8" s="12"/>
      <c r="E8" s="12"/>
      <c r="F8" s="12"/>
      <c r="G8" s="12"/>
      <c r="H8" s="12"/>
      <c r="I8" s="12"/>
      <c r="L8" s="6" t="s">
        <v>5</v>
      </c>
      <c r="M8">
        <v>0</v>
      </c>
      <c r="N8" s="17">
        <f>AVERAGE(G11:G13)</f>
        <v>93548.088966666663</v>
      </c>
      <c r="O8" s="17">
        <f>AVERAGE(G19:G21)</f>
        <v>224943.0203</v>
      </c>
    </row>
    <row r="9" spans="1:15" ht="18" x14ac:dyDescent="0.35">
      <c r="A9" s="1" t="s">
        <v>14</v>
      </c>
      <c r="C9" s="18" t="s">
        <v>1</v>
      </c>
      <c r="D9" s="18" t="s">
        <v>2</v>
      </c>
      <c r="E9" s="18" t="s">
        <v>3</v>
      </c>
      <c r="F9" s="19" t="s">
        <v>4</v>
      </c>
      <c r="G9" s="19" t="s">
        <v>5</v>
      </c>
      <c r="H9" s="20" t="s">
        <v>6</v>
      </c>
      <c r="I9" s="20" t="s">
        <v>7</v>
      </c>
      <c r="L9" s="5" t="s">
        <v>6</v>
      </c>
      <c r="M9">
        <v>0</v>
      </c>
      <c r="N9" s="17">
        <f>AVERAGE(H11:H13)</f>
        <v>407.1071</v>
      </c>
      <c r="O9" s="17">
        <f>AVERAGE(H19:H21)</f>
        <v>332.8151666666667</v>
      </c>
    </row>
    <row r="10" spans="1:15" x14ac:dyDescent="0.3">
      <c r="B10" s="4" t="s">
        <v>11</v>
      </c>
      <c r="C10" s="12" t="s">
        <v>12</v>
      </c>
      <c r="D10" s="12" t="s">
        <v>12</v>
      </c>
      <c r="E10" s="12" t="s">
        <v>12</v>
      </c>
      <c r="F10" s="12" t="s">
        <v>12</v>
      </c>
      <c r="G10" s="12" t="s">
        <v>12</v>
      </c>
      <c r="H10" s="12" t="s">
        <v>12</v>
      </c>
      <c r="I10" s="12" t="s">
        <v>12</v>
      </c>
      <c r="L10" s="5" t="s">
        <v>7</v>
      </c>
      <c r="M10">
        <v>0</v>
      </c>
      <c r="N10" s="17">
        <f>AVERAGE(I11:I13)</f>
        <v>97291.224199999997</v>
      </c>
      <c r="O10" s="17">
        <f>AVERAGE(I19:I21)</f>
        <v>137681.1074666667</v>
      </c>
    </row>
    <row r="11" spans="1:15" x14ac:dyDescent="0.3">
      <c r="A11" s="4" t="s">
        <v>13</v>
      </c>
      <c r="B11" s="4">
        <v>1</v>
      </c>
      <c r="C11" s="12">
        <v>0</v>
      </c>
      <c r="D11" s="12">
        <v>0</v>
      </c>
      <c r="E11" s="12">
        <v>0</v>
      </c>
      <c r="F11" s="12">
        <v>427</v>
      </c>
      <c r="G11" s="12">
        <v>104441.82399999999</v>
      </c>
      <c r="H11" s="12">
        <v>447.404</v>
      </c>
      <c r="I11" s="12">
        <v>122178.19960000001</v>
      </c>
    </row>
    <row r="12" spans="1:15" x14ac:dyDescent="0.3">
      <c r="A12" s="4"/>
      <c r="B12" s="4">
        <v>2</v>
      </c>
      <c r="C12" s="12">
        <v>0</v>
      </c>
      <c r="D12" s="12">
        <v>0</v>
      </c>
      <c r="E12" s="12">
        <v>0</v>
      </c>
      <c r="F12" s="12">
        <v>373</v>
      </c>
      <c r="G12" s="12">
        <v>82272.714399999997</v>
      </c>
      <c r="H12" s="12">
        <v>393.64089999999999</v>
      </c>
      <c r="I12" s="12">
        <v>76171.310400000002</v>
      </c>
    </row>
    <row r="13" spans="1:15" x14ac:dyDescent="0.3">
      <c r="A13" s="4"/>
      <c r="B13" s="4">
        <v>3</v>
      </c>
      <c r="C13" s="12"/>
      <c r="D13" s="12"/>
      <c r="E13" s="12"/>
      <c r="F13" s="12">
        <v>377</v>
      </c>
      <c r="G13" s="12">
        <v>93929.728499999997</v>
      </c>
      <c r="H13" s="12">
        <v>380.27640000000002</v>
      </c>
      <c r="I13" s="12">
        <v>93524.162599999996</v>
      </c>
    </row>
    <row r="14" spans="1:15" x14ac:dyDescent="0.3">
      <c r="B14" s="4" t="s">
        <v>52</v>
      </c>
    </row>
    <row r="15" spans="1:15" x14ac:dyDescent="0.3">
      <c r="C15" s="12"/>
      <c r="D15" s="12"/>
      <c r="E15" s="12"/>
      <c r="F15" s="12"/>
      <c r="G15" s="12"/>
      <c r="H15" s="12"/>
      <c r="I15" s="12"/>
    </row>
    <row r="16" spans="1:15" x14ac:dyDescent="0.3">
      <c r="C16" s="12"/>
      <c r="D16" s="12"/>
      <c r="E16" s="12"/>
      <c r="F16" s="12"/>
      <c r="G16" s="12"/>
      <c r="H16" s="12"/>
      <c r="I16" s="12"/>
    </row>
    <row r="17" spans="1:9" ht="18" x14ac:dyDescent="0.35">
      <c r="A17" s="1" t="s">
        <v>15</v>
      </c>
      <c r="C17" s="18" t="s">
        <v>1</v>
      </c>
      <c r="D17" s="18" t="s">
        <v>2</v>
      </c>
      <c r="E17" s="18" t="s">
        <v>3</v>
      </c>
      <c r="F17" s="19" t="s">
        <v>4</v>
      </c>
      <c r="G17" s="19" t="s">
        <v>5</v>
      </c>
      <c r="H17" s="20" t="s">
        <v>6</v>
      </c>
      <c r="I17" s="20" t="s">
        <v>7</v>
      </c>
    </row>
    <row r="18" spans="1:9" x14ac:dyDescent="0.3">
      <c r="B18" s="4" t="s">
        <v>11</v>
      </c>
      <c r="C18" s="12" t="s">
        <v>12</v>
      </c>
      <c r="D18" s="12" t="s">
        <v>12</v>
      </c>
      <c r="E18" s="12" t="s">
        <v>12</v>
      </c>
      <c r="F18" s="12" t="s">
        <v>12</v>
      </c>
      <c r="G18" s="12" t="s">
        <v>12</v>
      </c>
      <c r="H18" s="12" t="s">
        <v>12</v>
      </c>
      <c r="I18" s="12" t="s">
        <v>12</v>
      </c>
    </row>
    <row r="19" spans="1:9" x14ac:dyDescent="0.3">
      <c r="A19" s="4" t="s">
        <v>13</v>
      </c>
      <c r="B19" s="4">
        <v>1</v>
      </c>
      <c r="C19" s="12">
        <v>174.9631</v>
      </c>
      <c r="D19" s="12">
        <v>33.139899999999997</v>
      </c>
      <c r="E19" s="12">
        <v>0</v>
      </c>
      <c r="F19" s="12">
        <v>514.06399999999996</v>
      </c>
      <c r="G19" s="12">
        <v>186014.84340000001</v>
      </c>
      <c r="H19" s="12">
        <v>353.79570000000001</v>
      </c>
      <c r="I19" s="12">
        <v>147930.80050000001</v>
      </c>
    </row>
    <row r="20" spans="1:9" x14ac:dyDescent="0.3">
      <c r="A20" s="4"/>
      <c r="B20" s="4">
        <v>2</v>
      </c>
      <c r="C20" s="12">
        <v>161.75479999999999</v>
      </c>
      <c r="D20" s="12">
        <v>58.524799999999999</v>
      </c>
      <c r="E20" s="12">
        <v>0</v>
      </c>
      <c r="F20" s="12">
        <v>445.2321</v>
      </c>
      <c r="G20" s="12">
        <v>237207.40700000001</v>
      </c>
      <c r="H20" s="12">
        <v>320.11950000000002</v>
      </c>
      <c r="I20" s="12">
        <v>145034.66329999999</v>
      </c>
    </row>
    <row r="21" spans="1:9" x14ac:dyDescent="0.3">
      <c r="A21" s="4"/>
      <c r="B21" s="4">
        <v>3</v>
      </c>
      <c r="C21" s="12"/>
      <c r="D21" s="12"/>
      <c r="E21" s="12">
        <v>0</v>
      </c>
      <c r="F21" s="12">
        <v>461.57299999999998</v>
      </c>
      <c r="G21" s="12">
        <v>251606.81049999999</v>
      </c>
      <c r="H21" s="12">
        <v>324.53030000000001</v>
      </c>
      <c r="I21" s="12">
        <v>120077.85860000001</v>
      </c>
    </row>
    <row r="22" spans="1:9" x14ac:dyDescent="0.3">
      <c r="B22" s="4" t="s">
        <v>52</v>
      </c>
    </row>
    <row r="25" spans="1:9" ht="18" x14ac:dyDescent="0.35">
      <c r="A25" s="7" t="s">
        <v>0</v>
      </c>
      <c r="B25" s="8"/>
      <c r="C25" s="9" t="s">
        <v>1</v>
      </c>
      <c r="D25" s="9" t="s">
        <v>2</v>
      </c>
      <c r="E25" s="9" t="s">
        <v>3</v>
      </c>
      <c r="F25" s="10" t="s">
        <v>4</v>
      </c>
      <c r="G25" s="10" t="s">
        <v>5</v>
      </c>
      <c r="H25" s="11" t="s">
        <v>6</v>
      </c>
      <c r="I25" s="11" t="s">
        <v>7</v>
      </c>
    </row>
    <row r="26" spans="1:9" x14ac:dyDescent="0.3">
      <c r="B26" s="4" t="s">
        <v>16</v>
      </c>
      <c r="C26" t="s">
        <v>17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</row>
    <row r="27" spans="1:9" x14ac:dyDescent="0.3">
      <c r="A27" s="4" t="s">
        <v>13</v>
      </c>
      <c r="B27" s="4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s="4"/>
      <c r="B28" s="4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s="4"/>
      <c r="B29" s="4">
        <v>3</v>
      </c>
      <c r="F29">
        <v>0</v>
      </c>
      <c r="G29">
        <v>0</v>
      </c>
      <c r="H29">
        <v>0</v>
      </c>
      <c r="I29">
        <v>0</v>
      </c>
    </row>
    <row r="33" spans="1:9" ht="18" x14ac:dyDescent="0.35">
      <c r="A33" s="7" t="s">
        <v>14</v>
      </c>
      <c r="B33" s="8"/>
      <c r="C33" s="9" t="s">
        <v>1</v>
      </c>
      <c r="D33" s="9" t="s">
        <v>2</v>
      </c>
      <c r="E33" s="9" t="s">
        <v>3</v>
      </c>
      <c r="F33" s="10" t="s">
        <v>4</v>
      </c>
      <c r="G33" s="10" t="s">
        <v>5</v>
      </c>
      <c r="H33" s="11" t="s">
        <v>6</v>
      </c>
      <c r="I33" s="11" t="s">
        <v>7</v>
      </c>
    </row>
    <row r="34" spans="1:9" x14ac:dyDescent="0.3">
      <c r="B34" s="4" t="s">
        <v>16</v>
      </c>
      <c r="C34" t="s">
        <v>17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</row>
    <row r="35" spans="1:9" x14ac:dyDescent="0.3">
      <c r="A35" s="4" t="s">
        <v>13</v>
      </c>
      <c r="B35" s="4">
        <v>1</v>
      </c>
      <c r="C35">
        <v>0</v>
      </c>
      <c r="D35">
        <v>0</v>
      </c>
      <c r="E35">
        <v>0</v>
      </c>
      <c r="F35">
        <v>16</v>
      </c>
      <c r="G35">
        <v>1557594.25</v>
      </c>
      <c r="H35">
        <v>6023.0919999999996</v>
      </c>
      <c r="I35">
        <v>1783747.25</v>
      </c>
    </row>
    <row r="36" spans="1:9" x14ac:dyDescent="0.3">
      <c r="A36" s="4"/>
      <c r="B36" s="4">
        <v>2</v>
      </c>
      <c r="C36">
        <v>0</v>
      </c>
      <c r="D36">
        <v>0</v>
      </c>
      <c r="E36">
        <v>0</v>
      </c>
      <c r="F36">
        <v>17</v>
      </c>
      <c r="G36">
        <v>1267616.625</v>
      </c>
      <c r="H36">
        <v>4868.5450000000001</v>
      </c>
      <c r="I36">
        <v>1170904.0049999999</v>
      </c>
    </row>
    <row r="37" spans="1:9" x14ac:dyDescent="0.3">
      <c r="A37" s="4"/>
      <c r="B37" s="4">
        <v>3</v>
      </c>
      <c r="F37">
        <v>16</v>
      </c>
      <c r="G37">
        <v>1394483.463</v>
      </c>
      <c r="H37">
        <v>5168.125</v>
      </c>
      <c r="I37">
        <v>1441150.9890000001</v>
      </c>
    </row>
    <row r="41" spans="1:9" ht="18" x14ac:dyDescent="0.35">
      <c r="A41" s="7" t="s">
        <v>15</v>
      </c>
      <c r="B41" s="8"/>
      <c r="C41" s="9" t="s">
        <v>1</v>
      </c>
      <c r="D41" s="9" t="s">
        <v>2</v>
      </c>
      <c r="E41" s="9" t="s">
        <v>3</v>
      </c>
      <c r="F41" s="10" t="s">
        <v>4</v>
      </c>
      <c r="G41" s="10" t="s">
        <v>5</v>
      </c>
      <c r="H41" s="11" t="s">
        <v>6</v>
      </c>
      <c r="I41" s="11" t="s">
        <v>7</v>
      </c>
    </row>
    <row r="42" spans="1:9" x14ac:dyDescent="0.3">
      <c r="B42" s="4" t="s">
        <v>16</v>
      </c>
      <c r="C42" t="s">
        <v>17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</row>
    <row r="43" spans="1:9" x14ac:dyDescent="0.3">
      <c r="A43" s="4" t="s">
        <v>13</v>
      </c>
      <c r="B43" s="4">
        <v>1</v>
      </c>
      <c r="C43">
        <v>2554.9929999999999</v>
      </c>
      <c r="D43">
        <v>841.53200000000004</v>
      </c>
      <c r="E43" s="2"/>
      <c r="F43">
        <v>6346.0259999999998</v>
      </c>
      <c r="G43">
        <v>2681966.0210000002</v>
      </c>
      <c r="H43">
        <v>4992.7510000000002</v>
      </c>
      <c r="I43">
        <v>1974198.64</v>
      </c>
    </row>
    <row r="44" spans="1:9" x14ac:dyDescent="0.3">
      <c r="A44" s="4"/>
      <c r="B44" s="4">
        <v>2</v>
      </c>
      <c r="C44">
        <v>2401.9290000000001</v>
      </c>
      <c r="D44">
        <v>1004.479</v>
      </c>
      <c r="E44" s="2"/>
      <c r="F44">
        <v>5743.5420000000004</v>
      </c>
      <c r="G44">
        <v>3507154</v>
      </c>
      <c r="H44">
        <v>4496.6959999999999</v>
      </c>
      <c r="I44">
        <v>2113106.88</v>
      </c>
    </row>
    <row r="45" spans="1:9" x14ac:dyDescent="0.3">
      <c r="A45" s="4"/>
      <c r="B45" s="4">
        <v>3</v>
      </c>
      <c r="E45" s="2"/>
      <c r="F45">
        <v>5875.549</v>
      </c>
      <c r="G45">
        <v>3734411.057</v>
      </c>
      <c r="H45">
        <v>4733.6779999999999</v>
      </c>
      <c r="I45">
        <v>1755563.875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5"/>
  <sheetViews>
    <sheetView topLeftCell="G1" workbookViewId="0">
      <selection activeCell="O11" sqref="O11"/>
    </sheetView>
  </sheetViews>
  <sheetFormatPr defaultRowHeight="14.4" x14ac:dyDescent="0.3"/>
  <cols>
    <col min="2" max="2" width="11.44140625" bestFit="1" customWidth="1"/>
    <col min="3" max="3" width="13.88671875" bestFit="1" customWidth="1"/>
    <col min="4" max="4" width="24.44140625" bestFit="1" customWidth="1"/>
    <col min="5" max="5" width="35" bestFit="1" customWidth="1"/>
    <col min="6" max="6" width="11.33203125" bestFit="1" customWidth="1"/>
    <col min="7" max="7" width="21.6640625" bestFit="1" customWidth="1"/>
    <col min="8" max="8" width="19.5546875" bestFit="1" customWidth="1"/>
    <col min="9" max="9" width="20.5546875" bestFit="1" customWidth="1"/>
    <col min="10" max="10" width="11" bestFit="1" customWidth="1"/>
    <col min="11" max="11" width="11.88671875" bestFit="1" customWidth="1"/>
    <col min="12" max="12" width="32" bestFit="1" customWidth="1"/>
    <col min="13" max="15" width="19.33203125" bestFit="1" customWidth="1"/>
  </cols>
  <sheetData>
    <row r="1" spans="1:15" ht="18" x14ac:dyDescent="0.35">
      <c r="A1" s="1" t="s">
        <v>0</v>
      </c>
      <c r="C1" s="3" t="s">
        <v>1</v>
      </c>
      <c r="D1" s="3" t="s">
        <v>2</v>
      </c>
      <c r="E1" s="3" t="s">
        <v>3</v>
      </c>
      <c r="F1" s="6" t="s">
        <v>4</v>
      </c>
      <c r="G1" s="6" t="s">
        <v>5</v>
      </c>
      <c r="H1" s="5" t="s">
        <v>6</v>
      </c>
      <c r="I1" s="5" t="s">
        <v>7</v>
      </c>
      <c r="J1" s="1" t="s">
        <v>23</v>
      </c>
      <c r="K1" s="1" t="s">
        <v>22</v>
      </c>
    </row>
    <row r="2" spans="1:15" x14ac:dyDescent="0.3">
      <c r="B2" s="4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</row>
    <row r="3" spans="1:15" x14ac:dyDescent="0.3">
      <c r="A3" s="4" t="s">
        <v>13</v>
      </c>
      <c r="B3" s="4">
        <v>1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242.2022</v>
      </c>
      <c r="L3" s="4" t="s">
        <v>24</v>
      </c>
      <c r="M3" s="4" t="s">
        <v>53</v>
      </c>
      <c r="N3" s="4" t="s">
        <v>54</v>
      </c>
      <c r="O3" s="4" t="s">
        <v>55</v>
      </c>
    </row>
    <row r="4" spans="1:15" x14ac:dyDescent="0.3">
      <c r="A4" s="4"/>
      <c r="B4" s="4">
        <v>2</v>
      </c>
      <c r="C4" s="12">
        <v>0</v>
      </c>
      <c r="D4" s="12">
        <v>0</v>
      </c>
      <c r="E4" s="12">
        <v>0</v>
      </c>
      <c r="F4" s="12">
        <v>0</v>
      </c>
      <c r="G4" s="12">
        <v>277.11020000000002</v>
      </c>
      <c r="H4" s="12">
        <v>0</v>
      </c>
      <c r="I4" s="12">
        <v>158.1199</v>
      </c>
      <c r="M4" s="4" t="s">
        <v>56</v>
      </c>
      <c r="N4" s="4" t="s">
        <v>56</v>
      </c>
      <c r="O4" s="4" t="s">
        <v>56</v>
      </c>
    </row>
    <row r="5" spans="1:15" x14ac:dyDescent="0.3">
      <c r="A5" s="4"/>
      <c r="B5" s="4">
        <v>3</v>
      </c>
      <c r="C5" s="12">
        <v>0</v>
      </c>
      <c r="D5" s="12"/>
      <c r="E5" s="12"/>
      <c r="F5" s="12">
        <v>0</v>
      </c>
      <c r="G5" s="12">
        <v>0</v>
      </c>
      <c r="H5" s="12">
        <v>0</v>
      </c>
      <c r="I5" s="12">
        <v>222.3356</v>
      </c>
      <c r="L5" s="3" t="s">
        <v>1</v>
      </c>
      <c r="M5" s="17">
        <f>AVERAGE(C3:C5)</f>
        <v>0</v>
      </c>
      <c r="N5" s="17">
        <f>AVERAGE(C11:C13)</f>
        <v>0</v>
      </c>
      <c r="O5" s="17">
        <f>AVERAGE(C19:C21)</f>
        <v>0</v>
      </c>
    </row>
    <row r="6" spans="1:15" x14ac:dyDescent="0.3">
      <c r="B6" s="4" t="s">
        <v>52</v>
      </c>
      <c r="L6" s="3" t="s">
        <v>2</v>
      </c>
      <c r="M6" s="17">
        <f>AVERAGE(D3:D5)</f>
        <v>0</v>
      </c>
      <c r="N6" s="17">
        <f>AVERAGE(D11:D13)</f>
        <v>0</v>
      </c>
      <c r="O6" s="17">
        <f>AVERAGE(D19:D21)</f>
        <v>0</v>
      </c>
    </row>
    <row r="7" spans="1:15" x14ac:dyDescent="0.3">
      <c r="C7" s="12"/>
      <c r="D7" s="12"/>
      <c r="E7" s="12"/>
      <c r="F7" s="12"/>
      <c r="G7" s="12"/>
      <c r="H7" s="12"/>
      <c r="I7" s="12"/>
      <c r="L7" s="3" t="s">
        <v>3</v>
      </c>
      <c r="M7" s="17">
        <f>AVERAGE(E3:E5)</f>
        <v>0</v>
      </c>
      <c r="N7" s="17">
        <f>AVERAGE(E11:E13)</f>
        <v>0</v>
      </c>
      <c r="O7" s="17">
        <f>AVERAGE(E19:E21)</f>
        <v>0</v>
      </c>
    </row>
    <row r="8" spans="1:15" x14ac:dyDescent="0.3">
      <c r="C8" s="12"/>
      <c r="D8" s="12"/>
      <c r="E8" s="12"/>
      <c r="F8" s="12"/>
      <c r="G8" s="12"/>
      <c r="H8" s="12"/>
      <c r="I8" s="12"/>
      <c r="L8" s="6" t="s">
        <v>4</v>
      </c>
      <c r="M8" s="17">
        <f>AVERAGE(F3:F5)</f>
        <v>0</v>
      </c>
      <c r="N8" s="17">
        <f>AVERAGE(F11:F13)</f>
        <v>0</v>
      </c>
      <c r="O8" s="17">
        <f>AVERAGE(F19:F21)</f>
        <v>0</v>
      </c>
    </row>
    <row r="9" spans="1:15" ht="18" x14ac:dyDescent="0.35">
      <c r="A9" s="1" t="s">
        <v>14</v>
      </c>
      <c r="C9" s="18" t="s">
        <v>1</v>
      </c>
      <c r="D9" s="18" t="s">
        <v>2</v>
      </c>
      <c r="E9" s="18" t="s">
        <v>3</v>
      </c>
      <c r="F9" s="19" t="s">
        <v>4</v>
      </c>
      <c r="G9" s="19" t="s">
        <v>5</v>
      </c>
      <c r="H9" s="20" t="s">
        <v>6</v>
      </c>
      <c r="I9" s="20" t="s">
        <v>7</v>
      </c>
      <c r="L9" s="6" t="s">
        <v>5</v>
      </c>
      <c r="M9" s="17">
        <f>AVERAGE(G3:G5)</f>
        <v>92.370066666666673</v>
      </c>
      <c r="N9" s="17">
        <f>AVERAGE(G11:G13)</f>
        <v>5516.2604000000001</v>
      </c>
      <c r="O9" s="17">
        <f>AVERAGE(G19:G21)</f>
        <v>22288.396199999999</v>
      </c>
    </row>
    <row r="10" spans="1:15" x14ac:dyDescent="0.3">
      <c r="B10" s="4" t="s">
        <v>11</v>
      </c>
      <c r="C10" s="12" t="s">
        <v>12</v>
      </c>
      <c r="D10" s="12" t="s">
        <v>12</v>
      </c>
      <c r="E10" s="12" t="s">
        <v>12</v>
      </c>
      <c r="F10" s="12" t="s">
        <v>12</v>
      </c>
      <c r="G10" s="12" t="s">
        <v>12</v>
      </c>
      <c r="H10" s="12" t="s">
        <v>12</v>
      </c>
      <c r="I10" s="12" t="s">
        <v>12</v>
      </c>
      <c r="L10" s="5" t="s">
        <v>6</v>
      </c>
      <c r="M10" s="17">
        <f>AVERAGE(H3:H5)</f>
        <v>0</v>
      </c>
      <c r="N10" s="17">
        <f>AVERAGE(H11:H13)</f>
        <v>7.9619333333333335</v>
      </c>
      <c r="O10" s="17">
        <f>AVERAGE(H19:H21)</f>
        <v>171.07006666666666</v>
      </c>
    </row>
    <row r="11" spans="1:15" x14ac:dyDescent="0.3">
      <c r="A11" s="4" t="s">
        <v>13</v>
      </c>
      <c r="B11" s="4">
        <v>1</v>
      </c>
      <c r="C11" s="12">
        <v>0</v>
      </c>
      <c r="D11" s="12">
        <v>0</v>
      </c>
      <c r="E11" s="12">
        <v>0</v>
      </c>
      <c r="F11" s="12">
        <v>0</v>
      </c>
      <c r="G11" s="12">
        <v>5871.2525999999998</v>
      </c>
      <c r="H11" s="12">
        <v>23.8858</v>
      </c>
      <c r="I11" s="12">
        <v>7371.9584999999997</v>
      </c>
      <c r="L11" s="5" t="s">
        <v>7</v>
      </c>
      <c r="M11" s="17">
        <f>AVERAGE(I3:I5)</f>
        <v>207.55256666666665</v>
      </c>
      <c r="N11" s="17">
        <f>AVERAGE(I11:I13)</f>
        <v>5466.6774000000005</v>
      </c>
      <c r="O11" s="17">
        <f>AVERAGE(I19:I21)</f>
        <v>12827.822666666667</v>
      </c>
    </row>
    <row r="12" spans="1:15" x14ac:dyDescent="0.3">
      <c r="A12" s="4"/>
      <c r="B12" s="4">
        <v>2</v>
      </c>
      <c r="C12" s="12">
        <v>0</v>
      </c>
      <c r="D12" s="12">
        <v>0</v>
      </c>
      <c r="E12" s="12">
        <v>0</v>
      </c>
      <c r="F12" s="12">
        <v>0</v>
      </c>
      <c r="G12" s="12">
        <v>5025.4467000000004</v>
      </c>
      <c r="H12" s="12">
        <v>0</v>
      </c>
      <c r="I12" s="12">
        <v>3894.5569</v>
      </c>
    </row>
    <row r="13" spans="1:15" x14ac:dyDescent="0.3">
      <c r="A13" s="4"/>
      <c r="B13" s="4">
        <v>3</v>
      </c>
      <c r="C13" s="12">
        <v>0</v>
      </c>
      <c r="D13" s="12">
        <v>0</v>
      </c>
      <c r="E13" s="12">
        <v>0</v>
      </c>
      <c r="F13" s="12">
        <v>0</v>
      </c>
      <c r="G13" s="12">
        <v>5652.0819000000001</v>
      </c>
      <c r="H13" s="12">
        <v>0</v>
      </c>
      <c r="I13" s="12">
        <v>5133.5168000000003</v>
      </c>
    </row>
    <row r="14" spans="1:15" x14ac:dyDescent="0.3">
      <c r="B14" s="4" t="s">
        <v>52</v>
      </c>
    </row>
    <row r="15" spans="1:15" x14ac:dyDescent="0.3">
      <c r="C15" s="12"/>
      <c r="D15" s="12"/>
      <c r="E15" s="12"/>
      <c r="F15" s="12"/>
      <c r="G15" s="12"/>
      <c r="H15" s="12"/>
      <c r="I15" s="12"/>
    </row>
    <row r="16" spans="1:15" x14ac:dyDescent="0.3">
      <c r="C16" s="12"/>
      <c r="D16" s="12"/>
      <c r="E16" s="12"/>
      <c r="F16" s="12"/>
      <c r="G16" s="12"/>
      <c r="H16" s="12"/>
      <c r="I16" s="12"/>
    </row>
    <row r="17" spans="1:9" ht="18" x14ac:dyDescent="0.35">
      <c r="A17" s="1" t="s">
        <v>15</v>
      </c>
      <c r="C17" s="18" t="s">
        <v>1</v>
      </c>
      <c r="D17" s="18" t="s">
        <v>2</v>
      </c>
      <c r="E17" s="18" t="s">
        <v>3</v>
      </c>
      <c r="F17" s="19" t="s">
        <v>4</v>
      </c>
      <c r="G17" s="19" t="s">
        <v>5</v>
      </c>
      <c r="H17" s="20" t="s">
        <v>6</v>
      </c>
      <c r="I17" s="20" t="s">
        <v>7</v>
      </c>
    </row>
    <row r="18" spans="1:9" x14ac:dyDescent="0.3">
      <c r="B18" s="4" t="s">
        <v>11</v>
      </c>
      <c r="C18" s="12" t="s">
        <v>12</v>
      </c>
      <c r="D18" s="12" t="s">
        <v>12</v>
      </c>
      <c r="E18" s="12" t="s">
        <v>12</v>
      </c>
      <c r="F18" s="12" t="s">
        <v>12</v>
      </c>
      <c r="G18" s="12" t="s">
        <v>12</v>
      </c>
      <c r="H18" s="12" t="s">
        <v>12</v>
      </c>
      <c r="I18" s="12" t="s">
        <v>12</v>
      </c>
    </row>
    <row r="19" spans="1:9" x14ac:dyDescent="0.3">
      <c r="A19" s="4" t="s">
        <v>13</v>
      </c>
      <c r="B19" s="4">
        <v>1</v>
      </c>
      <c r="C19" s="12">
        <v>0</v>
      </c>
      <c r="D19" s="12">
        <v>0</v>
      </c>
      <c r="E19" s="12">
        <v>0</v>
      </c>
      <c r="F19" s="12">
        <v>0</v>
      </c>
      <c r="G19" s="12">
        <v>17395.617600000001</v>
      </c>
      <c r="H19" s="12">
        <v>314.92200000000003</v>
      </c>
      <c r="I19" s="12">
        <v>18023.636299999998</v>
      </c>
    </row>
    <row r="20" spans="1:9" x14ac:dyDescent="0.3">
      <c r="A20" s="4"/>
      <c r="B20" s="4">
        <v>2</v>
      </c>
      <c r="C20" s="12">
        <v>0</v>
      </c>
      <c r="D20" s="12">
        <v>0</v>
      </c>
      <c r="E20" s="12">
        <v>0</v>
      </c>
      <c r="F20" s="12">
        <v>0</v>
      </c>
      <c r="G20" s="12">
        <v>19593.7173</v>
      </c>
      <c r="H20" s="12">
        <v>198.28819999999999</v>
      </c>
      <c r="I20" s="12">
        <v>11850.062900000001</v>
      </c>
    </row>
    <row r="21" spans="1:9" x14ac:dyDescent="0.3">
      <c r="A21" s="4"/>
      <c r="B21" s="4">
        <v>3</v>
      </c>
      <c r="C21" s="12">
        <v>0</v>
      </c>
      <c r="D21" s="12">
        <v>0</v>
      </c>
      <c r="E21" s="12">
        <v>0</v>
      </c>
      <c r="F21" s="12">
        <v>0</v>
      </c>
      <c r="G21" s="12">
        <v>29875.8537</v>
      </c>
      <c r="H21" s="12">
        <v>0</v>
      </c>
      <c r="I21" s="12">
        <v>8609.7687999999998</v>
      </c>
    </row>
    <row r="22" spans="1:9" x14ac:dyDescent="0.3">
      <c r="B22" s="4" t="s">
        <v>52</v>
      </c>
    </row>
    <row r="25" spans="1:9" ht="18" x14ac:dyDescent="0.35">
      <c r="A25" s="7" t="s">
        <v>0</v>
      </c>
      <c r="B25" s="8"/>
      <c r="C25" s="9" t="s">
        <v>1</v>
      </c>
      <c r="D25" s="9" t="s">
        <v>2</v>
      </c>
      <c r="E25" s="9" t="s">
        <v>3</v>
      </c>
      <c r="F25" s="10" t="s">
        <v>4</v>
      </c>
      <c r="G25" s="10" t="s">
        <v>5</v>
      </c>
      <c r="H25" s="11" t="s">
        <v>6</v>
      </c>
      <c r="I25" s="11" t="s">
        <v>7</v>
      </c>
    </row>
    <row r="26" spans="1:9" x14ac:dyDescent="0.3">
      <c r="B26" s="4" t="s">
        <v>16</v>
      </c>
      <c r="C26" t="s">
        <v>17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</row>
    <row r="27" spans="1:9" x14ac:dyDescent="0.3">
      <c r="A27" s="4" t="s">
        <v>13</v>
      </c>
      <c r="B27" s="4">
        <v>1</v>
      </c>
      <c r="C27">
        <v>0</v>
      </c>
      <c r="D27">
        <v>476.709</v>
      </c>
      <c r="E27">
        <v>302.245</v>
      </c>
      <c r="F27">
        <v>0</v>
      </c>
      <c r="G27">
        <v>0</v>
      </c>
      <c r="H27">
        <v>0</v>
      </c>
      <c r="I27">
        <v>3107.5889999999999</v>
      </c>
    </row>
    <row r="28" spans="1:9" x14ac:dyDescent="0.3">
      <c r="A28" s="4"/>
      <c r="B28" s="4">
        <v>2</v>
      </c>
      <c r="C28">
        <v>0</v>
      </c>
      <c r="D28">
        <v>448.82499999999999</v>
      </c>
      <c r="E28">
        <v>552.14499999999998</v>
      </c>
      <c r="F28">
        <v>0</v>
      </c>
      <c r="G28">
        <v>2342.34</v>
      </c>
      <c r="H28">
        <v>0</v>
      </c>
      <c r="I28">
        <v>2025.8150000000001</v>
      </c>
    </row>
    <row r="29" spans="1:9" x14ac:dyDescent="0.3">
      <c r="A29" s="4"/>
      <c r="B29" s="4">
        <v>3</v>
      </c>
      <c r="C29">
        <v>0</v>
      </c>
      <c r="F29">
        <v>0</v>
      </c>
      <c r="G29">
        <v>0</v>
      </c>
      <c r="H29">
        <v>0</v>
      </c>
      <c r="I29">
        <v>2808.384</v>
      </c>
    </row>
    <row r="33" spans="1:9" ht="18" x14ac:dyDescent="0.35">
      <c r="A33" s="7" t="s">
        <v>14</v>
      </c>
      <c r="B33" s="8"/>
      <c r="C33" s="9" t="s">
        <v>1</v>
      </c>
      <c r="D33" s="9" t="s">
        <v>2</v>
      </c>
      <c r="E33" s="9" t="s">
        <v>3</v>
      </c>
      <c r="F33" s="10" t="s">
        <v>4</v>
      </c>
      <c r="G33" s="10" t="s">
        <v>5</v>
      </c>
      <c r="H33" s="11" t="s">
        <v>6</v>
      </c>
      <c r="I33" s="11" t="s">
        <v>7</v>
      </c>
    </row>
    <row r="34" spans="1:9" x14ac:dyDescent="0.3">
      <c r="B34" s="4" t="s">
        <v>16</v>
      </c>
      <c r="C34" t="s">
        <v>17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</row>
    <row r="35" spans="1:9" x14ac:dyDescent="0.3">
      <c r="A35" s="4" t="s">
        <v>13</v>
      </c>
      <c r="B35" s="4">
        <v>1</v>
      </c>
      <c r="C35">
        <v>0</v>
      </c>
      <c r="D35">
        <v>0</v>
      </c>
      <c r="E35">
        <v>0</v>
      </c>
      <c r="F35">
        <v>0</v>
      </c>
      <c r="G35">
        <v>93844.725000000006</v>
      </c>
      <c r="H35">
        <v>1709.127</v>
      </c>
      <c r="I35">
        <v>110776.04</v>
      </c>
    </row>
    <row r="36" spans="1:9" x14ac:dyDescent="0.3">
      <c r="A36" s="4"/>
      <c r="B36" s="4">
        <v>2</v>
      </c>
      <c r="C36">
        <v>0</v>
      </c>
      <c r="D36">
        <v>0</v>
      </c>
      <c r="E36">
        <v>0</v>
      </c>
      <c r="F36">
        <v>0</v>
      </c>
      <c r="G36">
        <v>77279.33</v>
      </c>
      <c r="H36">
        <v>0</v>
      </c>
      <c r="I36">
        <v>57076.377</v>
      </c>
    </row>
    <row r="37" spans="1:9" x14ac:dyDescent="0.3">
      <c r="A37" s="4"/>
      <c r="B37" s="4">
        <v>3</v>
      </c>
      <c r="F37">
        <v>0</v>
      </c>
      <c r="G37">
        <v>79706.589000000007</v>
      </c>
      <c r="H37">
        <v>0</v>
      </c>
      <c r="I37">
        <v>78187.153999999995</v>
      </c>
    </row>
    <row r="41" spans="1:9" ht="18" x14ac:dyDescent="0.35">
      <c r="A41" s="7" t="s">
        <v>15</v>
      </c>
      <c r="B41" s="8"/>
      <c r="C41" s="9" t="s">
        <v>1</v>
      </c>
      <c r="D41" s="9" t="s">
        <v>2</v>
      </c>
      <c r="E41" s="9" t="s">
        <v>3</v>
      </c>
      <c r="F41" s="10" t="s">
        <v>4</v>
      </c>
      <c r="G41" s="10" t="s">
        <v>5</v>
      </c>
      <c r="H41" s="11" t="s">
        <v>6</v>
      </c>
      <c r="I41" s="11" t="s">
        <v>7</v>
      </c>
    </row>
    <row r="42" spans="1:9" x14ac:dyDescent="0.3">
      <c r="B42" s="4" t="s">
        <v>16</v>
      </c>
      <c r="C42" t="s">
        <v>17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</row>
    <row r="43" spans="1:9" x14ac:dyDescent="0.3">
      <c r="A43" s="4" t="s">
        <v>13</v>
      </c>
      <c r="B43" s="4">
        <v>1</v>
      </c>
      <c r="C43">
        <v>0</v>
      </c>
      <c r="D43">
        <v>0</v>
      </c>
      <c r="E43" s="2"/>
      <c r="F43">
        <v>0</v>
      </c>
      <c r="G43">
        <v>280607.21899999998</v>
      </c>
      <c r="H43">
        <v>2618.127</v>
      </c>
      <c r="I43">
        <v>276847.78100000002</v>
      </c>
    </row>
    <row r="44" spans="1:9" x14ac:dyDescent="0.3">
      <c r="A44" s="4"/>
      <c r="B44" s="4">
        <v>2</v>
      </c>
      <c r="C44">
        <v>0</v>
      </c>
      <c r="D44">
        <v>0</v>
      </c>
      <c r="E44" s="2"/>
      <c r="F44">
        <v>0</v>
      </c>
      <c r="G44">
        <v>310825.71899999998</v>
      </c>
      <c r="H44">
        <v>1767.7529999999999</v>
      </c>
      <c r="I44">
        <v>182123.82800000001</v>
      </c>
    </row>
    <row r="45" spans="1:9" x14ac:dyDescent="0.3">
      <c r="A45" s="4"/>
      <c r="B45" s="4">
        <v>3</v>
      </c>
      <c r="C45">
        <v>0</v>
      </c>
      <c r="D45">
        <v>0</v>
      </c>
      <c r="E45" s="2"/>
      <c r="F45">
        <v>0</v>
      </c>
      <c r="G45">
        <v>464115.625</v>
      </c>
      <c r="H45">
        <v>0</v>
      </c>
      <c r="I45">
        <v>133591.04699999999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6"/>
  <sheetViews>
    <sheetView workbookViewId="0">
      <selection activeCell="A2" sqref="A2:I46"/>
    </sheetView>
  </sheetViews>
  <sheetFormatPr defaultRowHeight="14.4" x14ac:dyDescent="0.3"/>
  <cols>
    <col min="2" max="2" width="18.6640625" bestFit="1" customWidth="1"/>
    <col min="3" max="3" width="13.88671875" bestFit="1" customWidth="1"/>
    <col min="4" max="4" width="24.44140625" bestFit="1" customWidth="1"/>
    <col min="5" max="5" width="35" bestFit="1" customWidth="1"/>
    <col min="6" max="6" width="19.5546875" bestFit="1" customWidth="1"/>
    <col min="7" max="7" width="21.6640625" bestFit="1" customWidth="1"/>
    <col min="8" max="8" width="19.5546875" bestFit="1" customWidth="1"/>
    <col min="9" max="9" width="15.88671875" bestFit="1" customWidth="1"/>
  </cols>
  <sheetData>
    <row r="1" spans="1:9" ht="18" x14ac:dyDescent="0.35">
      <c r="B1" s="1" t="s">
        <v>27</v>
      </c>
      <c r="C1" s="1" t="s">
        <v>28</v>
      </c>
    </row>
    <row r="2" spans="1:9" ht="18" x14ac:dyDescent="0.35">
      <c r="A2" s="1" t="s">
        <v>0</v>
      </c>
      <c r="C2" s="3" t="s">
        <v>1</v>
      </c>
      <c r="D2" s="3" t="s">
        <v>2</v>
      </c>
      <c r="E2" s="3" t="s">
        <v>3</v>
      </c>
      <c r="F2" s="6" t="s">
        <v>4</v>
      </c>
      <c r="G2" s="6" t="s">
        <v>5</v>
      </c>
      <c r="H2" s="5" t="s">
        <v>6</v>
      </c>
      <c r="I2" s="5" t="s">
        <v>7</v>
      </c>
    </row>
    <row r="3" spans="1:9" x14ac:dyDescent="0.3">
      <c r="B3" s="4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3">
      <c r="A4" s="4" t="s">
        <v>13</v>
      </c>
      <c r="B4" s="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s="4"/>
      <c r="B5" s="4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s="4"/>
      <c r="B6" s="4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10" spans="1:9" ht="18" x14ac:dyDescent="0.35">
      <c r="A10" s="1" t="s">
        <v>14</v>
      </c>
      <c r="C10" s="3" t="s">
        <v>1</v>
      </c>
      <c r="D10" s="3" t="s">
        <v>2</v>
      </c>
      <c r="E10" s="3" t="s">
        <v>3</v>
      </c>
      <c r="F10" s="6" t="s">
        <v>4</v>
      </c>
      <c r="G10" s="6" t="s">
        <v>5</v>
      </c>
      <c r="H10" s="5" t="s">
        <v>6</v>
      </c>
      <c r="I10" s="5" t="s">
        <v>7</v>
      </c>
    </row>
    <row r="11" spans="1:9" x14ac:dyDescent="0.3">
      <c r="B11" s="4" t="s">
        <v>11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</row>
    <row r="12" spans="1:9" x14ac:dyDescent="0.3">
      <c r="A12" s="4" t="s">
        <v>13</v>
      </c>
      <c r="B12" s="4">
        <v>1</v>
      </c>
      <c r="C12">
        <v>0</v>
      </c>
      <c r="D12">
        <v>0</v>
      </c>
      <c r="E12">
        <v>0</v>
      </c>
      <c r="F12">
        <v>474.82760000000002</v>
      </c>
      <c r="G12">
        <v>10274.7444</v>
      </c>
      <c r="H12">
        <v>661.68759999999997</v>
      </c>
      <c r="I12">
        <v>0</v>
      </c>
    </row>
    <row r="13" spans="1:9" x14ac:dyDescent="0.3">
      <c r="A13" s="4"/>
      <c r="B13" s="4">
        <v>2</v>
      </c>
      <c r="C13">
        <v>0</v>
      </c>
      <c r="D13">
        <v>0</v>
      </c>
      <c r="E13">
        <v>0</v>
      </c>
      <c r="F13">
        <v>366.11900000000003</v>
      </c>
      <c r="G13">
        <v>7928.5108</v>
      </c>
      <c r="H13">
        <v>213.0198</v>
      </c>
      <c r="I13">
        <v>0</v>
      </c>
    </row>
    <row r="14" spans="1:9" x14ac:dyDescent="0.3">
      <c r="A14" s="4"/>
      <c r="B14" s="4">
        <v>3</v>
      </c>
      <c r="C14">
        <v>0</v>
      </c>
      <c r="D14">
        <v>0</v>
      </c>
      <c r="E14">
        <v>0</v>
      </c>
      <c r="F14">
        <v>347.78219999999999</v>
      </c>
      <c r="G14">
        <v>9294.8327000000008</v>
      </c>
      <c r="H14">
        <v>426.1026</v>
      </c>
      <c r="I14">
        <v>0</v>
      </c>
    </row>
    <row r="18" spans="1:9" ht="18" x14ac:dyDescent="0.35">
      <c r="A18" s="1" t="s">
        <v>15</v>
      </c>
      <c r="C18" s="3" t="s">
        <v>1</v>
      </c>
      <c r="D18" s="3" t="s">
        <v>2</v>
      </c>
      <c r="E18" s="3" t="s">
        <v>3</v>
      </c>
      <c r="F18" s="6" t="s">
        <v>4</v>
      </c>
      <c r="G18" s="6" t="s">
        <v>5</v>
      </c>
      <c r="H18" s="5" t="s">
        <v>6</v>
      </c>
      <c r="I18" s="5" t="s">
        <v>7</v>
      </c>
    </row>
    <row r="19" spans="1:9" x14ac:dyDescent="0.3">
      <c r="B19" s="4" t="s">
        <v>11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</row>
    <row r="20" spans="1:9" x14ac:dyDescent="0.3">
      <c r="A20" s="4" t="s">
        <v>13</v>
      </c>
      <c r="B20" s="4">
        <v>1</v>
      </c>
      <c r="C20">
        <v>0</v>
      </c>
      <c r="D20">
        <v>0</v>
      </c>
      <c r="E20" s="2"/>
      <c r="F20">
        <v>3437.6174999999998</v>
      </c>
      <c r="G20">
        <v>42751.013500000001</v>
      </c>
      <c r="H20">
        <v>2534.1309000000001</v>
      </c>
      <c r="I20">
        <v>0</v>
      </c>
    </row>
    <row r="21" spans="1:9" x14ac:dyDescent="0.3">
      <c r="A21" s="4"/>
      <c r="B21" s="4">
        <v>2</v>
      </c>
      <c r="C21">
        <v>0</v>
      </c>
      <c r="D21">
        <v>0</v>
      </c>
      <c r="E21" s="2"/>
      <c r="F21">
        <v>1461.4280000000001</v>
      </c>
      <c r="G21">
        <v>50713.530299999999</v>
      </c>
      <c r="H21">
        <v>0</v>
      </c>
      <c r="I21">
        <v>0</v>
      </c>
    </row>
    <row r="22" spans="1:9" x14ac:dyDescent="0.3">
      <c r="A22" s="4"/>
      <c r="B22" s="4">
        <v>3</v>
      </c>
      <c r="C22">
        <v>0</v>
      </c>
      <c r="D22">
        <v>0</v>
      </c>
      <c r="E22" s="2"/>
      <c r="F22">
        <v>1951.6822</v>
      </c>
      <c r="G22">
        <v>51380.092600000004</v>
      </c>
      <c r="H22">
        <v>1410.6134999999999</v>
      </c>
      <c r="I22">
        <v>0</v>
      </c>
    </row>
    <row r="26" spans="1:9" ht="18" x14ac:dyDescent="0.35">
      <c r="A26" s="7" t="s">
        <v>0</v>
      </c>
      <c r="B26" s="8"/>
      <c r="C26" s="9" t="s">
        <v>1</v>
      </c>
      <c r="D26" s="9" t="s">
        <v>2</v>
      </c>
      <c r="E26" s="9" t="s">
        <v>3</v>
      </c>
      <c r="F26" s="10" t="s">
        <v>4</v>
      </c>
      <c r="G26" s="10" t="s">
        <v>5</v>
      </c>
      <c r="H26" s="11" t="s">
        <v>6</v>
      </c>
      <c r="I26" s="11" t="s">
        <v>7</v>
      </c>
    </row>
    <row r="27" spans="1:9" x14ac:dyDescent="0.3">
      <c r="B27" s="4" t="s">
        <v>16</v>
      </c>
      <c r="C27" t="s">
        <v>17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</row>
    <row r="28" spans="1:9" x14ac:dyDescent="0.3">
      <c r="A28" s="4" t="s">
        <v>13</v>
      </c>
      <c r="B28" s="4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s="4"/>
      <c r="B29" s="4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s="4"/>
      <c r="B30" s="4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4" spans="1:9" ht="18" x14ac:dyDescent="0.35">
      <c r="A34" s="7" t="s">
        <v>14</v>
      </c>
      <c r="B34" s="8"/>
      <c r="C34" s="9" t="s">
        <v>1</v>
      </c>
      <c r="D34" s="9" t="s">
        <v>2</v>
      </c>
      <c r="E34" s="9" t="s">
        <v>3</v>
      </c>
      <c r="F34" s="10" t="s">
        <v>4</v>
      </c>
      <c r="G34" s="10" t="s">
        <v>5</v>
      </c>
      <c r="H34" s="11" t="s">
        <v>6</v>
      </c>
      <c r="I34" s="11" t="s">
        <v>7</v>
      </c>
    </row>
    <row r="35" spans="1:9" x14ac:dyDescent="0.3">
      <c r="B35" s="4" t="s">
        <v>16</v>
      </c>
      <c r="C35" t="s">
        <v>17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</row>
    <row r="36" spans="1:9" x14ac:dyDescent="0.3">
      <c r="A36" s="4" t="s">
        <v>13</v>
      </c>
      <c r="B36" s="4">
        <v>1</v>
      </c>
      <c r="C36">
        <v>0</v>
      </c>
      <c r="D36">
        <v>0</v>
      </c>
      <c r="E36">
        <v>0</v>
      </c>
      <c r="F36">
        <v>7000.18</v>
      </c>
      <c r="G36">
        <v>139347.43799999999</v>
      </c>
      <c r="H36">
        <v>8596.1910000000007</v>
      </c>
      <c r="I36">
        <v>0</v>
      </c>
    </row>
    <row r="37" spans="1:9" x14ac:dyDescent="0.3">
      <c r="A37" s="4"/>
      <c r="B37" s="4">
        <v>2</v>
      </c>
      <c r="C37">
        <v>0</v>
      </c>
      <c r="D37">
        <v>0</v>
      </c>
      <c r="E37">
        <v>0</v>
      </c>
      <c r="F37">
        <v>4895.0919999999996</v>
      </c>
      <c r="G37">
        <v>111979.508</v>
      </c>
      <c r="H37">
        <v>3163.2950000000001</v>
      </c>
      <c r="I37">
        <v>0</v>
      </c>
    </row>
    <row r="38" spans="1:9" x14ac:dyDescent="0.3">
      <c r="A38" s="4"/>
      <c r="B38" s="4">
        <v>3</v>
      </c>
      <c r="C38">
        <v>0</v>
      </c>
      <c r="D38">
        <v>0</v>
      </c>
      <c r="E38">
        <v>0</v>
      </c>
      <c r="F38">
        <v>4650.1499999999996</v>
      </c>
      <c r="G38">
        <v>128676.219</v>
      </c>
      <c r="H38">
        <v>6031.6989999999996</v>
      </c>
      <c r="I38">
        <v>0</v>
      </c>
    </row>
    <row r="42" spans="1:9" ht="18" x14ac:dyDescent="0.35">
      <c r="A42" s="7" t="s">
        <v>15</v>
      </c>
      <c r="B42" s="8"/>
      <c r="C42" s="9" t="s">
        <v>1</v>
      </c>
      <c r="D42" s="9" t="s">
        <v>2</v>
      </c>
      <c r="E42" s="9" t="s">
        <v>3</v>
      </c>
      <c r="F42" s="10" t="s">
        <v>4</v>
      </c>
      <c r="G42" s="10" t="s">
        <v>5</v>
      </c>
      <c r="H42" s="11" t="s">
        <v>6</v>
      </c>
      <c r="I42" s="11" t="s">
        <v>7</v>
      </c>
    </row>
    <row r="43" spans="1:9" x14ac:dyDescent="0.3">
      <c r="B43" s="4" t="s">
        <v>16</v>
      </c>
      <c r="C43" t="s">
        <v>17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</row>
    <row r="44" spans="1:9" x14ac:dyDescent="0.3">
      <c r="A44" s="4" t="s">
        <v>13</v>
      </c>
      <c r="B44" s="4">
        <v>1</v>
      </c>
      <c r="C44">
        <v>0</v>
      </c>
      <c r="D44">
        <v>0</v>
      </c>
      <c r="E44" s="2"/>
      <c r="F44">
        <v>40078.101999999999</v>
      </c>
      <c r="G44">
        <v>568735.875</v>
      </c>
      <c r="H44">
        <v>26799.716</v>
      </c>
      <c r="I44">
        <v>0</v>
      </c>
    </row>
    <row r="45" spans="1:9" x14ac:dyDescent="0.3">
      <c r="A45" s="4"/>
      <c r="B45" s="4">
        <v>2</v>
      </c>
      <c r="C45">
        <v>0</v>
      </c>
      <c r="D45">
        <v>0</v>
      </c>
      <c r="E45" s="2"/>
      <c r="F45">
        <v>16667.901999999998</v>
      </c>
      <c r="G45">
        <v>686868.56299999997</v>
      </c>
      <c r="H45">
        <v>0</v>
      </c>
      <c r="I45">
        <v>0</v>
      </c>
    </row>
    <row r="46" spans="1:9" x14ac:dyDescent="0.3">
      <c r="A46" s="4"/>
      <c r="B46" s="4">
        <v>3</v>
      </c>
      <c r="C46">
        <v>0</v>
      </c>
      <c r="D46">
        <v>0</v>
      </c>
      <c r="E46" s="2"/>
      <c r="F46">
        <v>23201.101999999999</v>
      </c>
      <c r="G46">
        <v>692981.06299999997</v>
      </c>
      <c r="H46">
        <v>14017.962</v>
      </c>
      <c r="I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6"/>
  <sheetViews>
    <sheetView workbookViewId="0">
      <selection activeCell="A2" sqref="A2:I46"/>
    </sheetView>
  </sheetViews>
  <sheetFormatPr defaultRowHeight="14.4" x14ac:dyDescent="0.3"/>
  <cols>
    <col min="2" max="2" width="20.88671875" bestFit="1" customWidth="1"/>
    <col min="3" max="3" width="13.88671875" bestFit="1" customWidth="1"/>
    <col min="4" max="4" width="24.44140625" bestFit="1" customWidth="1"/>
    <col min="5" max="5" width="35" bestFit="1" customWidth="1"/>
    <col min="6" max="6" width="20.5546875" bestFit="1" customWidth="1"/>
    <col min="7" max="7" width="21.6640625" bestFit="1" customWidth="1"/>
    <col min="8" max="8" width="20.5546875" bestFit="1" customWidth="1"/>
    <col min="9" max="9" width="19.5546875" bestFit="1" customWidth="1"/>
  </cols>
  <sheetData>
    <row r="1" spans="1:9" ht="18" x14ac:dyDescent="0.35">
      <c r="B1" s="1" t="s">
        <v>38</v>
      </c>
      <c r="C1" s="1" t="s">
        <v>33</v>
      </c>
    </row>
    <row r="2" spans="1:9" ht="18" x14ac:dyDescent="0.35">
      <c r="A2" s="1" t="s">
        <v>0</v>
      </c>
      <c r="C2" s="3" t="s">
        <v>1</v>
      </c>
      <c r="D2" s="3" t="s">
        <v>2</v>
      </c>
      <c r="E2" s="3" t="s">
        <v>3</v>
      </c>
      <c r="F2" s="6" t="s">
        <v>4</v>
      </c>
      <c r="G2" s="6" t="s">
        <v>5</v>
      </c>
      <c r="H2" s="5" t="s">
        <v>6</v>
      </c>
      <c r="I2" s="5" t="s">
        <v>7</v>
      </c>
    </row>
    <row r="3" spans="1:9" x14ac:dyDescent="0.3">
      <c r="B3" s="4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3">
      <c r="A4" s="4" t="s">
        <v>13</v>
      </c>
      <c r="B4" s="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s="4"/>
      <c r="B5" s="4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s="4"/>
      <c r="B6" s="4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10" spans="1:9" ht="18" x14ac:dyDescent="0.35">
      <c r="A10" s="1" t="s">
        <v>14</v>
      </c>
      <c r="C10" s="3" t="s">
        <v>1</v>
      </c>
      <c r="D10" s="3" t="s">
        <v>2</v>
      </c>
      <c r="E10" s="3" t="s">
        <v>3</v>
      </c>
      <c r="F10" s="6" t="s">
        <v>4</v>
      </c>
      <c r="G10" s="6" t="s">
        <v>5</v>
      </c>
      <c r="H10" s="5" t="s">
        <v>6</v>
      </c>
      <c r="I10" s="5" t="s">
        <v>7</v>
      </c>
    </row>
    <row r="11" spans="1:9" x14ac:dyDescent="0.3">
      <c r="B11" s="4" t="s">
        <v>11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</row>
    <row r="12" spans="1:9" x14ac:dyDescent="0.3">
      <c r="A12" s="4" t="s">
        <v>13</v>
      </c>
      <c r="B12" s="4">
        <v>1</v>
      </c>
      <c r="C12">
        <v>0</v>
      </c>
      <c r="D12">
        <v>0</v>
      </c>
      <c r="E12">
        <v>0</v>
      </c>
      <c r="F12">
        <v>1818.6288</v>
      </c>
      <c r="G12">
        <v>27330.546600000001</v>
      </c>
      <c r="H12">
        <v>2251.4744999999998</v>
      </c>
      <c r="I12">
        <v>0</v>
      </c>
    </row>
    <row r="13" spans="1:9" x14ac:dyDescent="0.3">
      <c r="A13" s="4"/>
      <c r="B13" s="4">
        <v>2</v>
      </c>
      <c r="C13">
        <v>0</v>
      </c>
      <c r="D13">
        <v>0</v>
      </c>
      <c r="E13">
        <v>0</v>
      </c>
      <c r="F13">
        <v>1071.4224999999999</v>
      </c>
      <c r="G13">
        <v>20436.149700000002</v>
      </c>
      <c r="H13">
        <v>929.06970000000001</v>
      </c>
      <c r="I13">
        <v>0</v>
      </c>
    </row>
    <row r="14" spans="1:9" x14ac:dyDescent="0.3">
      <c r="A14" s="4"/>
      <c r="B14" s="4">
        <v>3</v>
      </c>
      <c r="C14">
        <v>0</v>
      </c>
      <c r="D14">
        <v>0</v>
      </c>
      <c r="E14">
        <v>0</v>
      </c>
      <c r="F14">
        <v>1219.1010000000001</v>
      </c>
      <c r="G14">
        <v>24102.463400000001</v>
      </c>
      <c r="H14">
        <v>1329.9513999999999</v>
      </c>
      <c r="I14">
        <v>0</v>
      </c>
    </row>
    <row r="18" spans="1:9" ht="18" x14ac:dyDescent="0.35">
      <c r="A18" s="1" t="s">
        <v>15</v>
      </c>
      <c r="C18" s="3" t="s">
        <v>1</v>
      </c>
      <c r="D18" s="3" t="s">
        <v>2</v>
      </c>
      <c r="E18" s="3" t="s">
        <v>3</v>
      </c>
      <c r="F18" s="6" t="s">
        <v>4</v>
      </c>
      <c r="G18" s="6" t="s">
        <v>5</v>
      </c>
      <c r="H18" s="5" t="s">
        <v>6</v>
      </c>
      <c r="I18" s="5" t="s">
        <v>7</v>
      </c>
    </row>
    <row r="19" spans="1:9" x14ac:dyDescent="0.3">
      <c r="B19" s="4" t="s">
        <v>11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</row>
    <row r="20" spans="1:9" x14ac:dyDescent="0.3">
      <c r="A20" s="4" t="s">
        <v>13</v>
      </c>
      <c r="B20" s="4">
        <v>1</v>
      </c>
      <c r="C20">
        <v>0</v>
      </c>
      <c r="D20">
        <v>0</v>
      </c>
      <c r="E20" s="2"/>
      <c r="F20">
        <v>8453.4662000000008</v>
      </c>
      <c r="G20">
        <v>117798.6244</v>
      </c>
      <c r="H20">
        <v>5951.9857000000002</v>
      </c>
      <c r="I20">
        <v>931.33789999999999</v>
      </c>
    </row>
    <row r="21" spans="1:9" x14ac:dyDescent="0.3">
      <c r="A21" s="4"/>
      <c r="B21" s="4">
        <v>2</v>
      </c>
      <c r="C21">
        <v>0</v>
      </c>
      <c r="D21">
        <v>0</v>
      </c>
      <c r="E21" s="2"/>
      <c r="F21">
        <v>3825.94</v>
      </c>
      <c r="G21">
        <v>131886.95989999999</v>
      </c>
      <c r="H21">
        <v>1957.2215000000001</v>
      </c>
      <c r="I21">
        <v>949.08600000000001</v>
      </c>
    </row>
    <row r="22" spans="1:9" x14ac:dyDescent="0.3">
      <c r="A22" s="4"/>
      <c r="B22" s="4">
        <v>3</v>
      </c>
      <c r="C22">
        <v>0</v>
      </c>
      <c r="D22">
        <v>0</v>
      </c>
      <c r="E22" s="2"/>
      <c r="F22">
        <v>5279.0519000000004</v>
      </c>
      <c r="G22">
        <v>130995.1596</v>
      </c>
      <c r="H22">
        <v>3677.7905000000001</v>
      </c>
      <c r="I22">
        <v>1152.1174000000001</v>
      </c>
    </row>
    <row r="26" spans="1:9" ht="18" x14ac:dyDescent="0.35">
      <c r="A26" s="7" t="s">
        <v>0</v>
      </c>
      <c r="B26" s="8"/>
      <c r="C26" s="9" t="s">
        <v>1</v>
      </c>
      <c r="D26" s="9" t="s">
        <v>2</v>
      </c>
      <c r="E26" s="9" t="s">
        <v>3</v>
      </c>
      <c r="F26" s="10" t="s">
        <v>4</v>
      </c>
      <c r="G26" s="10" t="s">
        <v>5</v>
      </c>
      <c r="H26" s="11" t="s">
        <v>6</v>
      </c>
      <c r="I26" s="11" t="s">
        <v>7</v>
      </c>
    </row>
    <row r="27" spans="1:9" x14ac:dyDescent="0.3">
      <c r="B27" s="4" t="s">
        <v>16</v>
      </c>
      <c r="C27" t="s">
        <v>17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</row>
    <row r="28" spans="1:9" x14ac:dyDescent="0.3">
      <c r="A28" s="4" t="s">
        <v>13</v>
      </c>
      <c r="B28" s="4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s="4"/>
      <c r="B29" s="4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s="4"/>
      <c r="B30" s="4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4" spans="1:9" ht="18" x14ac:dyDescent="0.35">
      <c r="A34" s="7" t="s">
        <v>14</v>
      </c>
      <c r="B34" s="8"/>
      <c r="C34" s="9" t="s">
        <v>1</v>
      </c>
      <c r="D34" s="9" t="s">
        <v>2</v>
      </c>
      <c r="E34" s="9" t="s">
        <v>3</v>
      </c>
      <c r="F34" s="10" t="s">
        <v>4</v>
      </c>
      <c r="G34" s="10" t="s">
        <v>5</v>
      </c>
      <c r="H34" s="11" t="s">
        <v>6</v>
      </c>
      <c r="I34" s="11" t="s">
        <v>7</v>
      </c>
    </row>
    <row r="35" spans="1:9" x14ac:dyDescent="0.3">
      <c r="B35" s="4" t="s">
        <v>16</v>
      </c>
      <c r="C35" t="s">
        <v>17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</row>
    <row r="36" spans="1:9" x14ac:dyDescent="0.3">
      <c r="A36" s="4" t="s">
        <v>13</v>
      </c>
      <c r="B36" s="4">
        <v>1</v>
      </c>
      <c r="C36">
        <v>0</v>
      </c>
      <c r="D36">
        <v>0</v>
      </c>
      <c r="E36">
        <v>0</v>
      </c>
      <c r="F36">
        <v>27288.559000000001</v>
      </c>
      <c r="G36">
        <v>351953.84399999998</v>
      </c>
      <c r="H36">
        <v>35183.741999999998</v>
      </c>
      <c r="I36">
        <v>0</v>
      </c>
    </row>
    <row r="37" spans="1:9" x14ac:dyDescent="0.3">
      <c r="A37" s="4"/>
      <c r="B37" s="4">
        <v>2</v>
      </c>
      <c r="C37">
        <v>0</v>
      </c>
      <c r="D37">
        <v>0</v>
      </c>
      <c r="E37">
        <v>0</v>
      </c>
      <c r="F37">
        <v>17573.307000000001</v>
      </c>
      <c r="G37">
        <v>268504.83299999998</v>
      </c>
      <c r="H37">
        <v>15904.496999999999</v>
      </c>
      <c r="I37">
        <v>0</v>
      </c>
    </row>
    <row r="38" spans="1:9" x14ac:dyDescent="0.3">
      <c r="A38" s="4"/>
      <c r="B38" s="4">
        <v>3</v>
      </c>
      <c r="C38">
        <v>0</v>
      </c>
      <c r="D38">
        <v>0</v>
      </c>
      <c r="E38">
        <v>0</v>
      </c>
      <c r="F38">
        <v>19033.261999999999</v>
      </c>
      <c r="G38">
        <v>309765.625</v>
      </c>
      <c r="H38">
        <v>22603.932000000001</v>
      </c>
      <c r="I38">
        <v>0</v>
      </c>
    </row>
    <row r="42" spans="1:9" ht="18" x14ac:dyDescent="0.35">
      <c r="A42" s="7" t="s">
        <v>15</v>
      </c>
      <c r="B42" s="8"/>
      <c r="C42" s="9" t="s">
        <v>1</v>
      </c>
      <c r="D42" s="9" t="s">
        <v>2</v>
      </c>
      <c r="E42" s="9" t="s">
        <v>3</v>
      </c>
      <c r="F42" s="10" t="s">
        <v>4</v>
      </c>
      <c r="G42" s="10" t="s">
        <v>5</v>
      </c>
      <c r="H42" s="11" t="s">
        <v>6</v>
      </c>
      <c r="I42" s="11" t="s">
        <v>7</v>
      </c>
    </row>
    <row r="43" spans="1:9" x14ac:dyDescent="0.3">
      <c r="B43" s="4" t="s">
        <v>16</v>
      </c>
      <c r="C43" t="s">
        <v>17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</row>
    <row r="44" spans="1:9" x14ac:dyDescent="0.3">
      <c r="A44" s="4" t="s">
        <v>13</v>
      </c>
      <c r="B44" s="4">
        <v>1</v>
      </c>
      <c r="C44">
        <v>0</v>
      </c>
      <c r="D44">
        <v>0</v>
      </c>
      <c r="E44" s="2"/>
      <c r="F44">
        <v>137119.641</v>
      </c>
      <c r="G44">
        <v>1481633.4669999999</v>
      </c>
      <c r="H44">
        <v>95510.226999999999</v>
      </c>
      <c r="I44">
        <v>14981.213</v>
      </c>
    </row>
    <row r="45" spans="1:9" x14ac:dyDescent="0.3">
      <c r="A45" s="4"/>
      <c r="B45" s="4">
        <v>2</v>
      </c>
      <c r="C45">
        <v>0</v>
      </c>
      <c r="D45">
        <v>0</v>
      </c>
      <c r="E45" s="2"/>
      <c r="F45">
        <v>65210.023000000001</v>
      </c>
      <c r="G45">
        <v>1714799.94</v>
      </c>
      <c r="H45">
        <v>37111.042999999998</v>
      </c>
      <c r="I45">
        <v>14012.329</v>
      </c>
    </row>
    <row r="46" spans="1:9" x14ac:dyDescent="0.3">
      <c r="A46" s="4"/>
      <c r="B46" s="4">
        <v>3</v>
      </c>
      <c r="C46">
        <v>0</v>
      </c>
      <c r="D46">
        <v>0</v>
      </c>
      <c r="E46" s="2"/>
      <c r="F46">
        <v>85341.584000000003</v>
      </c>
      <c r="G46">
        <v>1697951.5</v>
      </c>
      <c r="H46">
        <v>60702.046999999999</v>
      </c>
      <c r="I46">
        <v>17150.974999999999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46"/>
  <sheetViews>
    <sheetView workbookViewId="0">
      <selection activeCell="L36" sqref="L36"/>
    </sheetView>
  </sheetViews>
  <sheetFormatPr defaultRowHeight="14.4" x14ac:dyDescent="0.3"/>
  <cols>
    <col min="2" max="2" width="11.44140625" bestFit="1" customWidth="1"/>
    <col min="3" max="3" width="13.88671875" bestFit="1" customWidth="1"/>
    <col min="4" max="4" width="24.44140625" bestFit="1" customWidth="1"/>
    <col min="5" max="5" width="35" bestFit="1" customWidth="1"/>
    <col min="6" max="6" width="20.5546875" bestFit="1" customWidth="1"/>
    <col min="7" max="7" width="21.6640625" bestFit="1" customWidth="1"/>
    <col min="8" max="9" width="20.5546875" bestFit="1" customWidth="1"/>
  </cols>
  <sheetData>
    <row r="2" spans="1:9" ht="18" x14ac:dyDescent="0.35">
      <c r="A2" s="1" t="s">
        <v>0</v>
      </c>
      <c r="C2" s="3" t="s">
        <v>1</v>
      </c>
      <c r="D2" s="3" t="s">
        <v>2</v>
      </c>
      <c r="E2" s="3" t="s">
        <v>3</v>
      </c>
      <c r="F2" s="6" t="s">
        <v>4</v>
      </c>
      <c r="G2" s="6" t="s">
        <v>5</v>
      </c>
      <c r="H2" s="5" t="s">
        <v>6</v>
      </c>
      <c r="I2" s="5" t="s">
        <v>7</v>
      </c>
    </row>
    <row r="3" spans="1:9" x14ac:dyDescent="0.3">
      <c r="B3" s="4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3">
      <c r="A4" s="4" t="s">
        <v>13</v>
      </c>
      <c r="B4" s="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s="4"/>
      <c r="B5" s="4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s="4"/>
      <c r="B6" s="4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10" spans="1:9" ht="18" x14ac:dyDescent="0.35">
      <c r="A10" s="1" t="s">
        <v>14</v>
      </c>
      <c r="C10" s="3" t="s">
        <v>1</v>
      </c>
      <c r="D10" s="3" t="s">
        <v>2</v>
      </c>
      <c r="E10" s="3" t="s">
        <v>3</v>
      </c>
      <c r="F10" s="6" t="s">
        <v>4</v>
      </c>
      <c r="G10" s="6" t="s">
        <v>5</v>
      </c>
      <c r="H10" s="5" t="s">
        <v>6</v>
      </c>
      <c r="I10" s="5" t="s">
        <v>7</v>
      </c>
    </row>
    <row r="11" spans="1:9" x14ac:dyDescent="0.3">
      <c r="B11" s="4" t="s">
        <v>11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</row>
    <row r="12" spans="1:9" x14ac:dyDescent="0.3">
      <c r="A12" s="4" t="s">
        <v>13</v>
      </c>
      <c r="B12" s="4">
        <v>1</v>
      </c>
      <c r="C12">
        <v>0</v>
      </c>
      <c r="D12">
        <v>0</v>
      </c>
      <c r="E12">
        <v>0</v>
      </c>
      <c r="F12">
        <v>2134.2534000000001</v>
      </c>
      <c r="G12">
        <v>13859.5445</v>
      </c>
      <c r="H12">
        <v>2462.4050000000002</v>
      </c>
      <c r="I12">
        <v>1730.5822000000001</v>
      </c>
    </row>
    <row r="13" spans="1:9" x14ac:dyDescent="0.3">
      <c r="A13" s="4"/>
      <c r="B13" s="4">
        <v>2</v>
      </c>
      <c r="C13">
        <v>0</v>
      </c>
      <c r="D13">
        <v>0</v>
      </c>
      <c r="E13">
        <v>0</v>
      </c>
      <c r="F13">
        <v>1245.2384</v>
      </c>
      <c r="G13">
        <v>10679.855600000001</v>
      </c>
      <c r="H13">
        <v>1289.3384000000001</v>
      </c>
      <c r="I13">
        <v>1514.2748999999999</v>
      </c>
    </row>
    <row r="14" spans="1:9" x14ac:dyDescent="0.3">
      <c r="A14" s="4"/>
      <c r="B14" s="4">
        <v>3</v>
      </c>
      <c r="C14">
        <v>0</v>
      </c>
      <c r="D14">
        <v>0</v>
      </c>
      <c r="E14">
        <v>0</v>
      </c>
      <c r="F14">
        <v>1522.9377999999999</v>
      </c>
      <c r="G14">
        <v>12454.6049</v>
      </c>
      <c r="H14">
        <v>1563.1741999999999</v>
      </c>
      <c r="I14">
        <v>1947.9957999999999</v>
      </c>
    </row>
    <row r="18" spans="1:9" ht="18" x14ac:dyDescent="0.35">
      <c r="A18" s="1" t="s">
        <v>15</v>
      </c>
      <c r="C18" s="3" t="s">
        <v>1</v>
      </c>
      <c r="D18" s="3" t="s">
        <v>2</v>
      </c>
      <c r="E18" s="3" t="s">
        <v>3</v>
      </c>
      <c r="F18" s="6" t="s">
        <v>4</v>
      </c>
      <c r="G18" s="6" t="s">
        <v>5</v>
      </c>
      <c r="H18" s="5" t="s">
        <v>6</v>
      </c>
      <c r="I18" s="5" t="s">
        <v>7</v>
      </c>
    </row>
    <row r="19" spans="1:9" x14ac:dyDescent="0.3">
      <c r="B19" s="4" t="s">
        <v>11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</row>
    <row r="20" spans="1:9" x14ac:dyDescent="0.3">
      <c r="A20" s="4" t="s">
        <v>13</v>
      </c>
      <c r="B20" s="4">
        <v>1</v>
      </c>
      <c r="C20">
        <v>0</v>
      </c>
      <c r="D20">
        <v>0</v>
      </c>
      <c r="E20" s="2"/>
      <c r="F20">
        <v>7845.8289000000004</v>
      </c>
      <c r="G20">
        <v>69150.289799999999</v>
      </c>
      <c r="H20">
        <v>5305.9023999999999</v>
      </c>
      <c r="I20">
        <v>2193.5861</v>
      </c>
    </row>
    <row r="21" spans="1:9" x14ac:dyDescent="0.3">
      <c r="A21" s="4"/>
      <c r="B21" s="4">
        <v>2</v>
      </c>
      <c r="C21">
        <v>0</v>
      </c>
      <c r="D21">
        <v>0</v>
      </c>
      <c r="E21" s="2"/>
      <c r="F21">
        <v>4755.9623000000001</v>
      </c>
      <c r="G21">
        <v>71441.661800000002</v>
      </c>
      <c r="H21">
        <v>2348.0931999999998</v>
      </c>
      <c r="I21">
        <v>2020.9084</v>
      </c>
    </row>
    <row r="22" spans="1:9" x14ac:dyDescent="0.3">
      <c r="A22" s="4"/>
      <c r="B22" s="4">
        <v>3</v>
      </c>
      <c r="C22">
        <v>0</v>
      </c>
      <c r="D22">
        <v>0</v>
      </c>
      <c r="E22" s="2"/>
      <c r="F22">
        <v>5506.0920999999998</v>
      </c>
      <c r="G22">
        <v>68871.823699999994</v>
      </c>
      <c r="H22">
        <v>3461.2548999999999</v>
      </c>
      <c r="I22">
        <v>2515.3777</v>
      </c>
    </row>
    <row r="26" spans="1:9" ht="18" x14ac:dyDescent="0.35">
      <c r="A26" s="7" t="s">
        <v>0</v>
      </c>
      <c r="B26" s="8"/>
      <c r="C26" s="9" t="s">
        <v>1</v>
      </c>
      <c r="D26" s="9" t="s">
        <v>2</v>
      </c>
      <c r="E26" s="9" t="s">
        <v>3</v>
      </c>
      <c r="F26" s="10" t="s">
        <v>4</v>
      </c>
      <c r="G26" s="10" t="s">
        <v>5</v>
      </c>
      <c r="H26" s="11" t="s">
        <v>6</v>
      </c>
      <c r="I26" s="11" t="s">
        <v>7</v>
      </c>
    </row>
    <row r="27" spans="1:9" x14ac:dyDescent="0.3">
      <c r="B27" s="4" t="s">
        <v>16</v>
      </c>
      <c r="C27" t="s">
        <v>17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</row>
    <row r="28" spans="1:9" x14ac:dyDescent="0.3">
      <c r="A28" s="4" t="s">
        <v>13</v>
      </c>
      <c r="B28" s="4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s="4"/>
      <c r="B29" s="4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s="4"/>
      <c r="B30" s="4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4" spans="1:9" ht="18" x14ac:dyDescent="0.35">
      <c r="A34" s="7" t="s">
        <v>14</v>
      </c>
      <c r="B34" s="8"/>
      <c r="C34" s="9" t="s">
        <v>1</v>
      </c>
      <c r="D34" s="9" t="s">
        <v>2</v>
      </c>
      <c r="E34" s="9" t="s">
        <v>3</v>
      </c>
      <c r="F34" s="10" t="s">
        <v>4</v>
      </c>
      <c r="G34" s="10" t="s">
        <v>5</v>
      </c>
      <c r="H34" s="11" t="s">
        <v>6</v>
      </c>
      <c r="I34" s="11" t="s">
        <v>7</v>
      </c>
    </row>
    <row r="35" spans="1:9" x14ac:dyDescent="0.3">
      <c r="B35" s="4" t="s">
        <v>16</v>
      </c>
      <c r="C35" t="s">
        <v>17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</row>
    <row r="36" spans="1:9" x14ac:dyDescent="0.3">
      <c r="A36" s="4" t="s">
        <v>13</v>
      </c>
      <c r="B36" s="4">
        <v>1</v>
      </c>
      <c r="C36">
        <v>0</v>
      </c>
      <c r="D36">
        <v>0</v>
      </c>
      <c r="E36">
        <v>0</v>
      </c>
      <c r="F36">
        <v>28498.679</v>
      </c>
      <c r="G36">
        <v>174630.54699999999</v>
      </c>
      <c r="H36">
        <v>33203.042999999998</v>
      </c>
      <c r="I36">
        <v>24988.51</v>
      </c>
    </row>
    <row r="37" spans="1:9" x14ac:dyDescent="0.3">
      <c r="A37" s="4"/>
      <c r="B37" s="4">
        <v>2</v>
      </c>
      <c r="C37">
        <v>0</v>
      </c>
      <c r="D37">
        <v>0</v>
      </c>
      <c r="E37">
        <v>0</v>
      </c>
      <c r="F37">
        <v>16267.806</v>
      </c>
      <c r="G37">
        <v>137690.75</v>
      </c>
      <c r="H37">
        <v>17896.331999999999</v>
      </c>
      <c r="I37">
        <v>19608.447</v>
      </c>
    </row>
    <row r="38" spans="1:9" x14ac:dyDescent="0.3">
      <c r="A38" s="4"/>
      <c r="B38" s="4">
        <v>3</v>
      </c>
      <c r="C38">
        <v>0</v>
      </c>
      <c r="D38">
        <v>0</v>
      </c>
      <c r="E38">
        <v>0</v>
      </c>
      <c r="F38">
        <v>19203.483</v>
      </c>
      <c r="G38">
        <v>161828.65599999999</v>
      </c>
      <c r="H38">
        <v>20491.094000000001</v>
      </c>
      <c r="I38">
        <v>25820.261999999999</v>
      </c>
    </row>
    <row r="42" spans="1:9" ht="18" x14ac:dyDescent="0.35">
      <c r="A42" s="7" t="s">
        <v>15</v>
      </c>
      <c r="B42" s="8"/>
      <c r="C42" s="9" t="s">
        <v>1</v>
      </c>
      <c r="D42" s="9" t="s">
        <v>2</v>
      </c>
      <c r="E42" s="9" t="s">
        <v>3</v>
      </c>
      <c r="F42" s="10" t="s">
        <v>4</v>
      </c>
      <c r="G42" s="10" t="s">
        <v>5</v>
      </c>
      <c r="H42" s="11" t="s">
        <v>6</v>
      </c>
      <c r="I42" s="11" t="s">
        <v>7</v>
      </c>
    </row>
    <row r="43" spans="1:9" x14ac:dyDescent="0.3">
      <c r="B43" s="4" t="s">
        <v>16</v>
      </c>
      <c r="C43" t="s">
        <v>17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</row>
    <row r="44" spans="1:9" x14ac:dyDescent="0.3">
      <c r="A44" s="4" t="s">
        <v>13</v>
      </c>
      <c r="B44" s="4">
        <v>1</v>
      </c>
      <c r="C44">
        <v>0</v>
      </c>
      <c r="D44">
        <v>0</v>
      </c>
      <c r="E44" s="2"/>
      <c r="F44">
        <v>102250.257</v>
      </c>
      <c r="G44">
        <v>907161.55200000003</v>
      </c>
      <c r="H44">
        <v>70664.722999999998</v>
      </c>
      <c r="I44">
        <v>30377.812999999998</v>
      </c>
    </row>
    <row r="45" spans="1:9" x14ac:dyDescent="0.3">
      <c r="A45" s="4"/>
      <c r="B45" s="4">
        <v>2</v>
      </c>
      <c r="C45">
        <v>0</v>
      </c>
      <c r="D45">
        <v>0</v>
      </c>
      <c r="E45" s="2"/>
      <c r="F45">
        <v>63926.73</v>
      </c>
      <c r="G45">
        <v>928791</v>
      </c>
      <c r="H45">
        <v>31946.134999999998</v>
      </c>
      <c r="I45">
        <v>29938.713</v>
      </c>
    </row>
    <row r="46" spans="1:9" x14ac:dyDescent="0.3">
      <c r="A46" s="4"/>
      <c r="B46" s="4">
        <v>3</v>
      </c>
      <c r="C46">
        <v>0</v>
      </c>
      <c r="D46">
        <v>0</v>
      </c>
      <c r="E46" s="2"/>
      <c r="F46">
        <v>76374.233999999997</v>
      </c>
      <c r="G46">
        <v>891279.25</v>
      </c>
      <c r="H46">
        <v>43823.457000000002</v>
      </c>
      <c r="I46">
        <v>34196.480000000003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47"/>
  <sheetViews>
    <sheetView topLeftCell="S1" workbookViewId="0">
      <selection activeCell="AB23" sqref="AB23"/>
    </sheetView>
  </sheetViews>
  <sheetFormatPr defaultRowHeight="14.4" x14ac:dyDescent="0.3"/>
  <cols>
    <col min="2" max="2" width="14.44140625" bestFit="1" customWidth="1"/>
    <col min="3" max="3" width="19.5546875" bestFit="1" customWidth="1"/>
    <col min="4" max="4" width="22.44140625" bestFit="1" customWidth="1"/>
    <col min="5" max="5" width="20.5546875" bestFit="1" customWidth="1"/>
    <col min="6" max="6" width="22.6640625" bestFit="1" customWidth="1"/>
    <col min="9" max="9" width="7.5546875" bestFit="1" customWidth="1"/>
    <col min="10" max="10" width="17.109375" bestFit="1" customWidth="1"/>
    <col min="11" max="11" width="18.5546875" bestFit="1" customWidth="1"/>
    <col min="12" max="12" width="22.44140625" bestFit="1" customWidth="1"/>
    <col min="13" max="13" width="18.5546875" bestFit="1" customWidth="1"/>
    <col min="14" max="14" width="22.44140625" bestFit="1" customWidth="1"/>
    <col min="15" max="15" width="12.109375" bestFit="1" customWidth="1"/>
    <col min="16" max="16" width="13.33203125" customWidth="1"/>
    <col min="17" max="17" width="7.5546875" bestFit="1" customWidth="1"/>
    <col min="18" max="18" width="18.6640625" bestFit="1" customWidth="1"/>
    <col min="19" max="19" width="20.5546875" bestFit="1" customWidth="1"/>
    <col min="20" max="20" width="22.44140625" bestFit="1" customWidth="1"/>
    <col min="21" max="21" width="12.109375" bestFit="1" customWidth="1"/>
    <col min="22" max="22" width="22.6640625" bestFit="1" customWidth="1"/>
    <col min="26" max="26" width="18.6640625" bestFit="1" customWidth="1"/>
    <col min="27" max="27" width="12" bestFit="1" customWidth="1"/>
    <col min="28" max="28" width="22.44140625" bestFit="1" customWidth="1"/>
    <col min="29" max="29" width="19.5546875" bestFit="1" customWidth="1"/>
    <col min="30" max="30" width="22.6640625" bestFit="1" customWidth="1"/>
  </cols>
  <sheetData>
    <row r="1" spans="1:30" ht="18" x14ac:dyDescent="0.35">
      <c r="B1" s="1" t="s">
        <v>27</v>
      </c>
      <c r="C1" s="1" t="s">
        <v>28</v>
      </c>
      <c r="J1" s="1" t="s">
        <v>29</v>
      </c>
      <c r="K1" s="1" t="s">
        <v>30</v>
      </c>
      <c r="R1" s="1" t="s">
        <v>31</v>
      </c>
      <c r="S1" s="1" t="s">
        <v>33</v>
      </c>
      <c r="Z1" s="1" t="s">
        <v>32</v>
      </c>
      <c r="AA1" s="1" t="s">
        <v>34</v>
      </c>
    </row>
    <row r="2" spans="1:30" ht="18" x14ac:dyDescent="0.35">
      <c r="A2" s="1" t="s">
        <v>0</v>
      </c>
      <c r="C2" s="6" t="s">
        <v>26</v>
      </c>
      <c r="D2" s="6" t="s">
        <v>8</v>
      </c>
      <c r="E2" s="5" t="s">
        <v>9</v>
      </c>
      <c r="F2" s="5" t="s">
        <v>10</v>
      </c>
      <c r="I2" s="1" t="s">
        <v>0</v>
      </c>
      <c r="K2" s="6" t="s">
        <v>26</v>
      </c>
      <c r="L2" s="6" t="s">
        <v>8</v>
      </c>
      <c r="M2" s="5" t="s">
        <v>9</v>
      </c>
      <c r="N2" s="5" t="s">
        <v>10</v>
      </c>
      <c r="Q2" s="1" t="s">
        <v>0</v>
      </c>
      <c r="S2" s="6" t="s">
        <v>26</v>
      </c>
      <c r="T2" s="6" t="s">
        <v>8</v>
      </c>
      <c r="U2" s="5" t="s">
        <v>9</v>
      </c>
      <c r="V2" s="5" t="s">
        <v>10</v>
      </c>
      <c r="Y2" s="1" t="s">
        <v>0</v>
      </c>
      <c r="AA2" s="6" t="s">
        <v>26</v>
      </c>
      <c r="AB2" s="6" t="s">
        <v>8</v>
      </c>
      <c r="AC2" s="5" t="s">
        <v>9</v>
      </c>
      <c r="AD2" s="5" t="s">
        <v>10</v>
      </c>
    </row>
    <row r="3" spans="1:30" x14ac:dyDescent="0.3">
      <c r="B3" s="4" t="s">
        <v>11</v>
      </c>
      <c r="C3" t="s">
        <v>12</v>
      </c>
      <c r="D3" t="s">
        <v>12</v>
      </c>
      <c r="E3" t="s">
        <v>12</v>
      </c>
      <c r="F3" t="s">
        <v>12</v>
      </c>
      <c r="J3" s="4" t="s">
        <v>11</v>
      </c>
      <c r="K3" t="s">
        <v>12</v>
      </c>
      <c r="L3" t="s">
        <v>12</v>
      </c>
      <c r="M3" t="s">
        <v>12</v>
      </c>
      <c r="N3" t="s">
        <v>12</v>
      </c>
      <c r="R3" s="4" t="s">
        <v>11</v>
      </c>
      <c r="S3" t="s">
        <v>12</v>
      </c>
      <c r="T3" t="s">
        <v>12</v>
      </c>
      <c r="U3" t="s">
        <v>12</v>
      </c>
      <c r="V3" t="s">
        <v>12</v>
      </c>
      <c r="Z3" s="4" t="s">
        <v>11</v>
      </c>
      <c r="AA3" t="s">
        <v>12</v>
      </c>
      <c r="AB3" t="s">
        <v>12</v>
      </c>
      <c r="AC3" t="s">
        <v>12</v>
      </c>
      <c r="AD3" t="s">
        <v>12</v>
      </c>
    </row>
    <row r="4" spans="1:30" x14ac:dyDescent="0.3">
      <c r="A4" s="4" t="s">
        <v>13</v>
      </c>
      <c r="B4" s="4">
        <v>1</v>
      </c>
      <c r="C4">
        <v>0</v>
      </c>
      <c r="D4">
        <v>0</v>
      </c>
      <c r="E4">
        <v>0</v>
      </c>
      <c r="F4">
        <v>0</v>
      </c>
      <c r="I4" s="4" t="s">
        <v>13</v>
      </c>
      <c r="J4" s="4">
        <v>1</v>
      </c>
      <c r="K4">
        <v>0</v>
      </c>
      <c r="L4">
        <v>0</v>
      </c>
      <c r="M4">
        <v>0</v>
      </c>
      <c r="N4">
        <v>0</v>
      </c>
      <c r="Q4" s="4" t="s">
        <v>13</v>
      </c>
      <c r="R4" s="4">
        <v>1</v>
      </c>
      <c r="S4">
        <v>0</v>
      </c>
      <c r="T4">
        <v>0</v>
      </c>
      <c r="U4">
        <v>0</v>
      </c>
      <c r="V4">
        <v>0</v>
      </c>
      <c r="Y4" s="4" t="s">
        <v>13</v>
      </c>
      <c r="Z4" s="4">
        <v>1</v>
      </c>
      <c r="AA4" s="12">
        <v>0</v>
      </c>
      <c r="AB4" s="12">
        <v>0</v>
      </c>
      <c r="AC4" s="12">
        <v>0</v>
      </c>
      <c r="AD4" s="12">
        <v>0</v>
      </c>
    </row>
    <row r="5" spans="1:30" x14ac:dyDescent="0.3">
      <c r="A5" s="4"/>
      <c r="B5" s="4">
        <v>2</v>
      </c>
      <c r="C5">
        <v>0</v>
      </c>
      <c r="D5">
        <v>0</v>
      </c>
      <c r="E5">
        <v>0</v>
      </c>
      <c r="F5">
        <v>0</v>
      </c>
      <c r="I5" s="4"/>
      <c r="J5" s="4">
        <v>2</v>
      </c>
      <c r="K5">
        <v>0</v>
      </c>
      <c r="L5">
        <v>0</v>
      </c>
      <c r="M5">
        <v>0</v>
      </c>
      <c r="N5">
        <v>0</v>
      </c>
      <c r="Q5" s="4"/>
      <c r="R5" s="4">
        <v>2</v>
      </c>
      <c r="S5">
        <v>0</v>
      </c>
      <c r="T5">
        <v>0</v>
      </c>
      <c r="U5">
        <v>0</v>
      </c>
      <c r="V5">
        <v>0</v>
      </c>
      <c r="Y5" s="4"/>
      <c r="Z5" s="4">
        <v>2</v>
      </c>
      <c r="AA5" s="12">
        <v>0</v>
      </c>
      <c r="AB5" s="12">
        <v>0</v>
      </c>
      <c r="AC5" s="12">
        <v>0</v>
      </c>
      <c r="AD5" s="12">
        <v>0</v>
      </c>
    </row>
    <row r="6" spans="1:30" x14ac:dyDescent="0.3">
      <c r="A6" s="4"/>
      <c r="B6" s="4">
        <v>3</v>
      </c>
      <c r="C6">
        <v>0</v>
      </c>
      <c r="D6">
        <v>0</v>
      </c>
      <c r="E6">
        <v>0</v>
      </c>
      <c r="F6">
        <v>0</v>
      </c>
      <c r="I6" s="4"/>
      <c r="J6" s="4">
        <v>3</v>
      </c>
      <c r="K6">
        <v>0</v>
      </c>
      <c r="L6">
        <v>0</v>
      </c>
      <c r="M6">
        <v>0</v>
      </c>
      <c r="N6">
        <v>0</v>
      </c>
      <c r="Q6" s="4"/>
      <c r="R6" s="4">
        <v>3</v>
      </c>
      <c r="S6">
        <v>0</v>
      </c>
      <c r="T6">
        <v>0</v>
      </c>
      <c r="U6">
        <v>0</v>
      </c>
      <c r="V6">
        <v>0</v>
      </c>
      <c r="Y6" s="4"/>
      <c r="Z6" s="4">
        <v>3</v>
      </c>
      <c r="AA6" s="12">
        <v>0</v>
      </c>
      <c r="AB6" s="12">
        <v>0</v>
      </c>
      <c r="AC6" s="12">
        <v>0</v>
      </c>
      <c r="AD6" s="12">
        <v>0</v>
      </c>
    </row>
    <row r="7" spans="1:30" x14ac:dyDescent="0.3">
      <c r="AA7" s="12"/>
      <c r="AB7" s="12"/>
      <c r="AC7" s="12"/>
      <c r="AD7" s="12"/>
    </row>
    <row r="8" spans="1:30" x14ac:dyDescent="0.3">
      <c r="AA8" s="12"/>
      <c r="AB8" s="12"/>
      <c r="AC8" s="12"/>
      <c r="AD8" s="12"/>
    </row>
    <row r="9" spans="1:30" x14ac:dyDescent="0.3">
      <c r="AA9" s="12"/>
      <c r="AB9" s="12"/>
      <c r="AC9" s="12"/>
      <c r="AD9" s="12"/>
    </row>
    <row r="10" spans="1:30" ht="18" x14ac:dyDescent="0.35">
      <c r="A10" s="1" t="s">
        <v>14</v>
      </c>
      <c r="C10" s="6" t="s">
        <v>26</v>
      </c>
      <c r="D10" s="6" t="s">
        <v>8</v>
      </c>
      <c r="E10" s="5" t="s">
        <v>9</v>
      </c>
      <c r="F10" s="5" t="s">
        <v>10</v>
      </c>
      <c r="I10" s="1" t="s">
        <v>14</v>
      </c>
      <c r="K10" s="6" t="s">
        <v>26</v>
      </c>
      <c r="L10" s="6" t="s">
        <v>8</v>
      </c>
      <c r="M10" s="5" t="s">
        <v>9</v>
      </c>
      <c r="N10" s="5" t="s">
        <v>10</v>
      </c>
      <c r="Q10" s="1" t="s">
        <v>14</v>
      </c>
      <c r="S10" s="6" t="s">
        <v>26</v>
      </c>
      <c r="T10" s="6" t="s">
        <v>8</v>
      </c>
      <c r="U10" s="5" t="s">
        <v>9</v>
      </c>
      <c r="V10" s="5" t="s">
        <v>10</v>
      </c>
      <c r="Y10" s="1" t="s">
        <v>14</v>
      </c>
      <c r="AA10" s="19" t="s">
        <v>26</v>
      </c>
      <c r="AB10" s="19" t="s">
        <v>8</v>
      </c>
      <c r="AC10" s="20" t="s">
        <v>9</v>
      </c>
      <c r="AD10" s="20" t="s">
        <v>10</v>
      </c>
    </row>
    <row r="11" spans="1:30" x14ac:dyDescent="0.3">
      <c r="B11" s="4" t="s">
        <v>11</v>
      </c>
      <c r="C11" t="s">
        <v>12</v>
      </c>
      <c r="D11" t="s">
        <v>12</v>
      </c>
      <c r="E11" t="s">
        <v>12</v>
      </c>
      <c r="F11" t="s">
        <v>12</v>
      </c>
      <c r="J11" s="4" t="s">
        <v>11</v>
      </c>
      <c r="K11" t="s">
        <v>12</v>
      </c>
      <c r="L11" t="s">
        <v>12</v>
      </c>
      <c r="M11" t="s">
        <v>12</v>
      </c>
      <c r="N11" t="s">
        <v>12</v>
      </c>
      <c r="R11" s="4" t="s">
        <v>11</v>
      </c>
      <c r="S11" t="s">
        <v>12</v>
      </c>
      <c r="T11" t="s">
        <v>12</v>
      </c>
      <c r="U11" t="s">
        <v>12</v>
      </c>
      <c r="V11" t="s">
        <v>12</v>
      </c>
      <c r="Z11" s="4" t="s">
        <v>11</v>
      </c>
      <c r="AA11" s="12" t="s">
        <v>12</v>
      </c>
      <c r="AB11" s="12" t="s">
        <v>12</v>
      </c>
      <c r="AC11" s="12" t="s">
        <v>12</v>
      </c>
      <c r="AD11" s="12" t="s">
        <v>12</v>
      </c>
    </row>
    <row r="12" spans="1:30" x14ac:dyDescent="0.3">
      <c r="A12" s="4" t="s">
        <v>13</v>
      </c>
      <c r="B12" s="4">
        <v>1</v>
      </c>
      <c r="C12" s="12">
        <v>775.21259999999995</v>
      </c>
      <c r="D12" s="12">
        <v>4563.2223999999997</v>
      </c>
      <c r="E12" s="12">
        <v>1381.7967000000001</v>
      </c>
      <c r="F12">
        <v>0</v>
      </c>
      <c r="I12" s="4" t="s">
        <v>13</v>
      </c>
      <c r="J12" s="4">
        <v>1</v>
      </c>
      <c r="K12" s="12">
        <v>0</v>
      </c>
      <c r="L12" s="12">
        <v>1750.0552</v>
      </c>
      <c r="M12" s="12">
        <v>0</v>
      </c>
      <c r="N12" s="12">
        <v>0</v>
      </c>
      <c r="Q12" s="4" t="s">
        <v>13</v>
      </c>
      <c r="R12" s="4">
        <v>1</v>
      </c>
      <c r="S12" s="12">
        <v>0</v>
      </c>
      <c r="T12" s="12">
        <v>3022.5468999999998</v>
      </c>
      <c r="U12" s="12">
        <v>0</v>
      </c>
      <c r="V12" s="12">
        <v>0</v>
      </c>
      <c r="Y12" s="4" t="s">
        <v>13</v>
      </c>
      <c r="Z12" s="4">
        <v>1</v>
      </c>
      <c r="AA12" s="12">
        <v>0</v>
      </c>
      <c r="AB12" s="12">
        <v>33202.056199999999</v>
      </c>
      <c r="AC12" s="12">
        <v>0</v>
      </c>
      <c r="AD12" s="12">
        <v>1722.9648999999999</v>
      </c>
    </row>
    <row r="13" spans="1:30" x14ac:dyDescent="0.3">
      <c r="A13" s="4"/>
      <c r="B13" s="4">
        <v>2</v>
      </c>
      <c r="C13" s="12">
        <v>847.87130000000002</v>
      </c>
      <c r="D13" s="12">
        <v>5636.3680999999997</v>
      </c>
      <c r="E13" s="12">
        <v>136.61439999999999</v>
      </c>
      <c r="F13">
        <v>0</v>
      </c>
      <c r="I13" s="4"/>
      <c r="J13" s="4">
        <v>2</v>
      </c>
      <c r="K13" s="12">
        <v>0</v>
      </c>
      <c r="L13" s="12">
        <v>1162.9060999999999</v>
      </c>
      <c r="M13" s="12">
        <v>0</v>
      </c>
      <c r="N13" s="12">
        <v>0</v>
      </c>
      <c r="Q13" s="4"/>
      <c r="R13" s="4">
        <v>2</v>
      </c>
      <c r="S13" s="12">
        <v>0</v>
      </c>
      <c r="T13" s="12">
        <v>3409.9112</v>
      </c>
      <c r="U13" s="12">
        <v>0</v>
      </c>
      <c r="V13" s="12">
        <v>0</v>
      </c>
      <c r="Y13" s="4"/>
      <c r="Z13" s="4">
        <v>2</v>
      </c>
      <c r="AA13" s="12">
        <v>0</v>
      </c>
      <c r="AB13" s="12">
        <v>39768.597699999998</v>
      </c>
      <c r="AC13" s="12">
        <v>0</v>
      </c>
      <c r="AD13" s="12">
        <v>4080.5050000000001</v>
      </c>
    </row>
    <row r="14" spans="1:30" x14ac:dyDescent="0.3">
      <c r="A14" s="4"/>
      <c r="B14" s="4">
        <v>3</v>
      </c>
      <c r="C14" s="12">
        <v>841.20060000000001</v>
      </c>
      <c r="D14" s="12">
        <v>6676.9522999999999</v>
      </c>
      <c r="E14" s="12">
        <v>2209.4766</v>
      </c>
      <c r="F14">
        <v>0</v>
      </c>
      <c r="I14" s="4"/>
      <c r="J14" s="4">
        <v>3</v>
      </c>
      <c r="K14" s="12">
        <v>0</v>
      </c>
      <c r="L14" s="12">
        <v>1134.8289</v>
      </c>
      <c r="M14" s="12">
        <v>0</v>
      </c>
      <c r="N14" s="12">
        <v>0</v>
      </c>
      <c r="Q14" s="4"/>
      <c r="R14" s="4">
        <v>3</v>
      </c>
      <c r="S14" s="12">
        <v>0</v>
      </c>
      <c r="T14" s="12">
        <v>3506.3890000000001</v>
      </c>
      <c r="U14" s="12">
        <v>0</v>
      </c>
      <c r="V14" s="12">
        <v>0</v>
      </c>
      <c r="Y14" s="4"/>
      <c r="Z14" s="4">
        <v>3</v>
      </c>
      <c r="AA14" s="12">
        <v>0</v>
      </c>
      <c r="AB14" s="12">
        <v>43690.522799999999</v>
      </c>
      <c r="AC14" s="12">
        <v>0</v>
      </c>
      <c r="AD14" s="12">
        <v>3605.9769000000001</v>
      </c>
    </row>
    <row r="15" spans="1:30" x14ac:dyDescent="0.3">
      <c r="B15" t="s">
        <v>59</v>
      </c>
      <c r="C15" s="12">
        <f>AVERAGE(C12:C14)</f>
        <v>821.4281666666667</v>
      </c>
      <c r="D15" s="12">
        <f t="shared" ref="D15:F15" si="0">AVERAGE(D12:D14)</f>
        <v>5625.5142666666661</v>
      </c>
      <c r="E15" s="12">
        <f t="shared" si="0"/>
        <v>1242.6292333333333</v>
      </c>
      <c r="F15" s="12">
        <f t="shared" si="0"/>
        <v>0</v>
      </c>
      <c r="J15" t="s">
        <v>59</v>
      </c>
      <c r="K15" s="12">
        <f>AVERAGE(K12:K14)</f>
        <v>0</v>
      </c>
      <c r="L15" s="12">
        <f t="shared" ref="L15:N15" si="1">AVERAGE(L12:L14)</f>
        <v>1349.2634</v>
      </c>
      <c r="M15" s="12">
        <f t="shared" si="1"/>
        <v>0</v>
      </c>
      <c r="N15" s="12">
        <f t="shared" si="1"/>
        <v>0</v>
      </c>
      <c r="R15" t="s">
        <v>59</v>
      </c>
      <c r="S15" s="12">
        <f>AVERAGE(S12:S14)</f>
        <v>0</v>
      </c>
      <c r="T15" s="12">
        <f t="shared" ref="T15:V15" si="2">AVERAGE(T12:T14)</f>
        <v>3312.9490333333329</v>
      </c>
      <c r="U15" s="12">
        <f t="shared" si="2"/>
        <v>0</v>
      </c>
      <c r="V15" s="12">
        <f t="shared" si="2"/>
        <v>0</v>
      </c>
      <c r="Z15" t="s">
        <v>59</v>
      </c>
      <c r="AA15" s="12">
        <f>AVERAGE(AA12:AA14)</f>
        <v>0</v>
      </c>
      <c r="AB15" s="12">
        <f t="shared" ref="AB15:AD15" si="3">AVERAGE(AB12:AB14)</f>
        <v>38887.058900000004</v>
      </c>
      <c r="AC15" s="12">
        <f t="shared" si="3"/>
        <v>0</v>
      </c>
      <c r="AD15" s="12">
        <f t="shared" si="3"/>
        <v>3136.4822666666664</v>
      </c>
    </row>
    <row r="16" spans="1:30" x14ac:dyDescent="0.3">
      <c r="K16" s="12"/>
      <c r="L16" s="12"/>
      <c r="M16" s="12"/>
      <c r="N16" s="12"/>
      <c r="S16" s="12"/>
      <c r="T16" s="12"/>
      <c r="U16" s="12"/>
      <c r="V16" s="12"/>
      <c r="AA16" s="12"/>
      <c r="AB16" s="12"/>
      <c r="AC16" s="12"/>
      <c r="AD16" s="12"/>
    </row>
    <row r="17" spans="1:30" x14ac:dyDescent="0.3">
      <c r="S17" s="12"/>
      <c r="T17" s="12"/>
      <c r="U17" s="12"/>
      <c r="V17" s="12"/>
      <c r="AA17" s="12"/>
      <c r="AB17" s="12"/>
      <c r="AC17" s="12"/>
      <c r="AD17" s="12"/>
    </row>
    <row r="18" spans="1:30" ht="18" x14ac:dyDescent="0.35">
      <c r="A18" s="1" t="s">
        <v>15</v>
      </c>
      <c r="C18" s="6" t="s">
        <v>26</v>
      </c>
      <c r="D18" s="6" t="s">
        <v>8</v>
      </c>
      <c r="E18" s="5" t="s">
        <v>9</v>
      </c>
      <c r="F18" s="5" t="s">
        <v>10</v>
      </c>
      <c r="I18" s="1" t="s">
        <v>15</v>
      </c>
      <c r="K18" s="6" t="s">
        <v>26</v>
      </c>
      <c r="L18" s="6" t="s">
        <v>8</v>
      </c>
      <c r="M18" s="5" t="s">
        <v>9</v>
      </c>
      <c r="N18" s="5" t="s">
        <v>10</v>
      </c>
      <c r="Q18" s="1" t="s">
        <v>15</v>
      </c>
      <c r="S18" s="19" t="s">
        <v>26</v>
      </c>
      <c r="T18" s="19" t="s">
        <v>8</v>
      </c>
      <c r="U18" s="20" t="s">
        <v>9</v>
      </c>
      <c r="V18" s="20" t="s">
        <v>10</v>
      </c>
      <c r="Y18" s="1" t="s">
        <v>15</v>
      </c>
      <c r="AA18" s="19" t="s">
        <v>26</v>
      </c>
      <c r="AB18" s="19" t="s">
        <v>8</v>
      </c>
      <c r="AC18" s="20" t="s">
        <v>9</v>
      </c>
      <c r="AD18" s="20" t="s">
        <v>10</v>
      </c>
    </row>
    <row r="19" spans="1:30" x14ac:dyDescent="0.3">
      <c r="B19" s="4" t="s">
        <v>11</v>
      </c>
      <c r="C19" t="s">
        <v>12</v>
      </c>
      <c r="D19" t="s">
        <v>12</v>
      </c>
      <c r="E19" t="s">
        <v>12</v>
      </c>
      <c r="F19" t="s">
        <v>12</v>
      </c>
      <c r="J19" s="4" t="s">
        <v>11</v>
      </c>
      <c r="K19" t="s">
        <v>12</v>
      </c>
      <c r="L19" t="s">
        <v>12</v>
      </c>
      <c r="M19" t="s">
        <v>12</v>
      </c>
      <c r="N19" t="s">
        <v>12</v>
      </c>
      <c r="R19" s="4" t="s">
        <v>11</v>
      </c>
      <c r="S19" s="12" t="s">
        <v>12</v>
      </c>
      <c r="T19" s="12" t="s">
        <v>12</v>
      </c>
      <c r="U19" s="12" t="s">
        <v>12</v>
      </c>
      <c r="V19" s="12" t="s">
        <v>12</v>
      </c>
      <c r="Z19" s="4" t="s">
        <v>11</v>
      </c>
      <c r="AA19" s="12" t="s">
        <v>12</v>
      </c>
      <c r="AB19" s="12" t="s">
        <v>12</v>
      </c>
      <c r="AC19" s="12" t="s">
        <v>12</v>
      </c>
      <c r="AD19" s="12" t="s">
        <v>12</v>
      </c>
    </row>
    <row r="20" spans="1:30" x14ac:dyDescent="0.3">
      <c r="A20" s="4" t="s">
        <v>13</v>
      </c>
      <c r="B20" s="4">
        <v>1</v>
      </c>
      <c r="C20" s="12">
        <v>16351.427</v>
      </c>
      <c r="D20" s="12">
        <v>21777.052800000001</v>
      </c>
      <c r="E20" s="12">
        <v>7081.4062000000004</v>
      </c>
      <c r="F20" s="12">
        <v>0</v>
      </c>
      <c r="I20" s="4" t="s">
        <v>13</v>
      </c>
      <c r="J20" s="4">
        <v>1</v>
      </c>
      <c r="K20" s="12">
        <v>38.525399999999998</v>
      </c>
      <c r="L20" s="12">
        <v>14135.875099999999</v>
      </c>
      <c r="M20" s="12">
        <v>25.343</v>
      </c>
      <c r="N20" s="12">
        <v>0</v>
      </c>
      <c r="Q20" s="4" t="s">
        <v>13</v>
      </c>
      <c r="R20" s="4">
        <v>1</v>
      </c>
      <c r="S20" s="12">
        <v>0</v>
      </c>
      <c r="T20" s="12">
        <v>12658.737300000001</v>
      </c>
      <c r="U20" s="12">
        <v>0</v>
      </c>
      <c r="V20" s="12">
        <v>0</v>
      </c>
      <c r="Y20" s="4" t="s">
        <v>13</v>
      </c>
      <c r="Z20" s="4">
        <v>1</v>
      </c>
      <c r="AA20" s="12">
        <v>2070.8018000000002</v>
      </c>
      <c r="AB20" s="12">
        <v>69319.191999999995</v>
      </c>
      <c r="AC20" s="12">
        <v>818.47519999999997</v>
      </c>
      <c r="AD20" s="12">
        <v>1104.2701</v>
      </c>
    </row>
    <row r="21" spans="1:30" x14ac:dyDescent="0.3">
      <c r="A21" s="4"/>
      <c r="B21" s="4">
        <v>2</v>
      </c>
      <c r="C21" s="12">
        <v>14773.378699999999</v>
      </c>
      <c r="D21" s="12">
        <v>40281.339500000002</v>
      </c>
      <c r="E21" s="12">
        <v>3207.9032999999999</v>
      </c>
      <c r="F21" s="12">
        <v>0</v>
      </c>
      <c r="I21" s="4"/>
      <c r="J21" s="4">
        <v>2</v>
      </c>
      <c r="K21" s="12">
        <v>38.067599999999999</v>
      </c>
      <c r="L21" s="12">
        <v>9255.0928999999996</v>
      </c>
      <c r="M21" s="12">
        <v>0</v>
      </c>
      <c r="N21" s="12">
        <v>0</v>
      </c>
      <c r="Q21" s="4"/>
      <c r="R21" s="4">
        <v>2</v>
      </c>
      <c r="S21" s="12">
        <v>0</v>
      </c>
      <c r="T21" s="12">
        <v>12177.749900000001</v>
      </c>
      <c r="U21" s="12">
        <v>0</v>
      </c>
      <c r="V21" s="12">
        <v>0</v>
      </c>
      <c r="Y21" s="4"/>
      <c r="Z21" s="4">
        <v>2</v>
      </c>
      <c r="AA21" s="12">
        <v>1841.0059000000001</v>
      </c>
      <c r="AB21" s="12">
        <v>108230.3737</v>
      </c>
      <c r="AC21" s="12">
        <v>285.90289999999999</v>
      </c>
      <c r="AD21" s="12">
        <v>1770.442</v>
      </c>
    </row>
    <row r="22" spans="1:30" x14ac:dyDescent="0.3">
      <c r="A22" s="4"/>
      <c r="B22" s="4">
        <v>3</v>
      </c>
      <c r="C22" s="12">
        <v>13433.8797</v>
      </c>
      <c r="D22" s="12">
        <v>39999.166700000002</v>
      </c>
      <c r="E22" s="12">
        <v>2269.7853</v>
      </c>
      <c r="F22" s="12">
        <v>0</v>
      </c>
      <c r="I22" s="4"/>
      <c r="J22" s="4">
        <v>3</v>
      </c>
      <c r="K22" s="12">
        <v>48.381999999999998</v>
      </c>
      <c r="L22" s="12">
        <v>7278.3334999999997</v>
      </c>
      <c r="M22" s="12">
        <v>0</v>
      </c>
      <c r="N22" s="12">
        <v>0</v>
      </c>
      <c r="Q22" s="4"/>
      <c r="R22" s="4">
        <v>3</v>
      </c>
      <c r="S22" s="12">
        <v>0</v>
      </c>
      <c r="T22" s="12">
        <v>11858.3691</v>
      </c>
      <c r="U22" s="12">
        <v>0</v>
      </c>
      <c r="V22" s="12">
        <v>0</v>
      </c>
      <c r="Y22" s="4"/>
      <c r="Z22" s="4">
        <v>3</v>
      </c>
      <c r="AA22" s="12">
        <v>1858.0382</v>
      </c>
      <c r="AB22" s="12">
        <v>115491.1787</v>
      </c>
      <c r="AC22" s="12">
        <v>238.27879999999999</v>
      </c>
      <c r="AD22" s="12">
        <v>2232.0210000000002</v>
      </c>
    </row>
    <row r="23" spans="1:30" x14ac:dyDescent="0.3">
      <c r="B23" t="s">
        <v>59</v>
      </c>
      <c r="C23" s="12">
        <f>AVERAGE(C20:C22)</f>
        <v>14852.895133333332</v>
      </c>
      <c r="D23" s="12">
        <f t="shared" ref="D23:F23" si="4">AVERAGE(D20:D22)</f>
        <v>34019.186333333339</v>
      </c>
      <c r="E23" s="12">
        <f t="shared" si="4"/>
        <v>4186.3649333333333</v>
      </c>
      <c r="F23" s="12">
        <f t="shared" si="4"/>
        <v>0</v>
      </c>
      <c r="J23" t="s">
        <v>59</v>
      </c>
      <c r="K23" s="12">
        <f>AVERAGE(K20:K22)</f>
        <v>41.658333333333331</v>
      </c>
      <c r="L23" s="12">
        <f t="shared" ref="L23:N23" si="5">AVERAGE(L20:L22)</f>
        <v>10223.1005</v>
      </c>
      <c r="M23" s="12">
        <f t="shared" si="5"/>
        <v>8.4476666666666667</v>
      </c>
      <c r="N23" s="12">
        <f t="shared" si="5"/>
        <v>0</v>
      </c>
      <c r="R23" t="s">
        <v>59</v>
      </c>
      <c r="S23" s="12">
        <f>AVERAGE(S20:S22)</f>
        <v>0</v>
      </c>
      <c r="T23" s="12">
        <f t="shared" ref="T23:V23" si="6">AVERAGE(T20:T22)</f>
        <v>12231.618766666666</v>
      </c>
      <c r="U23" s="12">
        <f t="shared" si="6"/>
        <v>0</v>
      </c>
      <c r="V23" s="12">
        <f t="shared" si="6"/>
        <v>0</v>
      </c>
      <c r="Z23" t="s">
        <v>59</v>
      </c>
      <c r="AA23" s="12">
        <f>AVERAGE(AA20:AA22)</f>
        <v>1923.2819666666667</v>
      </c>
      <c r="AB23" s="12">
        <f t="shared" ref="AB23:AD23" si="7">AVERAGE(AB20:AB22)</f>
        <v>97680.248133333327</v>
      </c>
      <c r="AC23" s="12">
        <f t="shared" si="7"/>
        <v>447.5523</v>
      </c>
      <c r="AD23" s="12">
        <f t="shared" si="7"/>
        <v>1702.2443666666666</v>
      </c>
    </row>
    <row r="26" spans="1:30" ht="18" x14ac:dyDescent="0.35">
      <c r="A26" s="7" t="s">
        <v>0</v>
      </c>
      <c r="B26" s="8"/>
      <c r="C26" s="10" t="s">
        <v>26</v>
      </c>
      <c r="D26" s="10" t="s">
        <v>8</v>
      </c>
      <c r="E26" s="11" t="s">
        <v>9</v>
      </c>
      <c r="F26" s="11" t="s">
        <v>10</v>
      </c>
      <c r="I26" s="7" t="s">
        <v>0</v>
      </c>
      <c r="J26" s="8"/>
      <c r="K26" s="10" t="s">
        <v>26</v>
      </c>
      <c r="L26" s="10" t="s">
        <v>8</v>
      </c>
      <c r="M26" s="11" t="s">
        <v>9</v>
      </c>
      <c r="N26" s="11" t="s">
        <v>10</v>
      </c>
      <c r="Q26" s="7" t="s">
        <v>0</v>
      </c>
      <c r="R26" s="8"/>
      <c r="S26" s="10" t="s">
        <v>26</v>
      </c>
      <c r="T26" s="10" t="s">
        <v>8</v>
      </c>
      <c r="U26" s="11" t="s">
        <v>9</v>
      </c>
      <c r="V26" s="11" t="s">
        <v>10</v>
      </c>
      <c r="Y26" s="7" t="s">
        <v>0</v>
      </c>
      <c r="Z26" s="8"/>
      <c r="AA26" s="10" t="s">
        <v>26</v>
      </c>
      <c r="AB26" s="10" t="s">
        <v>8</v>
      </c>
      <c r="AC26" s="11" t="s">
        <v>9</v>
      </c>
      <c r="AD26" s="11" t="s">
        <v>10</v>
      </c>
    </row>
    <row r="27" spans="1:30" x14ac:dyDescent="0.3">
      <c r="B27" s="4" t="s">
        <v>16</v>
      </c>
      <c r="C27" t="s">
        <v>17</v>
      </c>
      <c r="D27" t="s">
        <v>17</v>
      </c>
      <c r="E27" t="s">
        <v>17</v>
      </c>
      <c r="F27" t="s">
        <v>17</v>
      </c>
      <c r="J27" s="4" t="s">
        <v>16</v>
      </c>
      <c r="K27" t="s">
        <v>17</v>
      </c>
      <c r="L27" t="s">
        <v>17</v>
      </c>
      <c r="M27" t="s">
        <v>17</v>
      </c>
      <c r="N27" t="s">
        <v>17</v>
      </c>
      <c r="R27" s="4" t="s">
        <v>16</v>
      </c>
      <c r="S27" t="s">
        <v>17</v>
      </c>
      <c r="T27" t="s">
        <v>17</v>
      </c>
      <c r="U27" t="s">
        <v>17</v>
      </c>
      <c r="V27" t="s">
        <v>17</v>
      </c>
      <c r="Z27" s="4" t="s">
        <v>16</v>
      </c>
      <c r="AA27" t="s">
        <v>17</v>
      </c>
      <c r="AB27" t="s">
        <v>17</v>
      </c>
      <c r="AC27" t="s">
        <v>17</v>
      </c>
      <c r="AD27" t="s">
        <v>17</v>
      </c>
    </row>
    <row r="28" spans="1:30" x14ac:dyDescent="0.3">
      <c r="A28" s="4" t="s">
        <v>13</v>
      </c>
      <c r="B28" s="4">
        <v>1</v>
      </c>
      <c r="C28">
        <v>0</v>
      </c>
      <c r="D28">
        <v>0</v>
      </c>
      <c r="E28">
        <v>0</v>
      </c>
      <c r="F28">
        <v>0</v>
      </c>
      <c r="I28" s="4" t="s">
        <v>13</v>
      </c>
      <c r="J28" s="4">
        <v>1</v>
      </c>
      <c r="K28">
        <v>0</v>
      </c>
      <c r="L28">
        <v>0</v>
      </c>
      <c r="M28">
        <v>0</v>
      </c>
      <c r="N28">
        <v>0</v>
      </c>
      <c r="Q28" s="4" t="s">
        <v>13</v>
      </c>
      <c r="R28" s="4">
        <v>1</v>
      </c>
      <c r="S28">
        <v>0</v>
      </c>
      <c r="T28">
        <v>0</v>
      </c>
      <c r="U28">
        <v>0</v>
      </c>
      <c r="V28">
        <v>0</v>
      </c>
      <c r="Y28" s="4" t="s">
        <v>13</v>
      </c>
      <c r="Z28" s="4">
        <v>1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 s="4"/>
      <c r="B29" s="4">
        <v>2</v>
      </c>
      <c r="C29">
        <v>0</v>
      </c>
      <c r="D29">
        <v>0</v>
      </c>
      <c r="E29">
        <v>0</v>
      </c>
      <c r="F29">
        <v>0</v>
      </c>
      <c r="I29" s="4"/>
      <c r="J29" s="4">
        <v>2</v>
      </c>
      <c r="K29">
        <v>0</v>
      </c>
      <c r="L29">
        <v>0</v>
      </c>
      <c r="M29">
        <v>0</v>
      </c>
      <c r="N29">
        <v>0</v>
      </c>
      <c r="Q29" s="4"/>
      <c r="R29" s="4">
        <v>2</v>
      </c>
      <c r="S29">
        <v>0</v>
      </c>
      <c r="T29">
        <v>0</v>
      </c>
      <c r="U29">
        <v>0</v>
      </c>
      <c r="V29">
        <v>0</v>
      </c>
      <c r="Y29" s="4"/>
      <c r="Z29" s="4">
        <v>2</v>
      </c>
      <c r="AA29">
        <v>0</v>
      </c>
      <c r="AB29">
        <v>0</v>
      </c>
      <c r="AC29">
        <v>0</v>
      </c>
      <c r="AD29">
        <v>0</v>
      </c>
    </row>
    <row r="30" spans="1:30" x14ac:dyDescent="0.3">
      <c r="A30" s="4"/>
      <c r="B30" s="4">
        <v>3</v>
      </c>
      <c r="C30">
        <v>0</v>
      </c>
      <c r="D30">
        <v>0</v>
      </c>
      <c r="E30">
        <v>0</v>
      </c>
      <c r="F30">
        <v>0</v>
      </c>
      <c r="I30" s="4"/>
      <c r="J30" s="4">
        <v>3</v>
      </c>
      <c r="K30">
        <v>0</v>
      </c>
      <c r="L30">
        <v>0</v>
      </c>
      <c r="M30">
        <v>0</v>
      </c>
      <c r="N30">
        <v>0</v>
      </c>
      <c r="Q30" s="4"/>
      <c r="R30" s="4">
        <v>3</v>
      </c>
      <c r="S30">
        <v>0</v>
      </c>
      <c r="T30">
        <v>0</v>
      </c>
      <c r="U30">
        <v>0</v>
      </c>
      <c r="V30">
        <v>0</v>
      </c>
      <c r="Y30" s="4"/>
      <c r="Z30" s="4">
        <v>3</v>
      </c>
      <c r="AA30">
        <v>0</v>
      </c>
      <c r="AB30">
        <v>0</v>
      </c>
      <c r="AC30">
        <v>0</v>
      </c>
      <c r="AD30">
        <v>0</v>
      </c>
    </row>
    <row r="34" spans="1:30" ht="18" x14ac:dyDescent="0.35">
      <c r="A34" s="7" t="s">
        <v>14</v>
      </c>
      <c r="B34" s="8"/>
      <c r="C34" s="10" t="s">
        <v>26</v>
      </c>
      <c r="D34" s="10" t="s">
        <v>8</v>
      </c>
      <c r="E34" s="11" t="s">
        <v>9</v>
      </c>
      <c r="F34" s="11" t="s">
        <v>10</v>
      </c>
      <c r="I34" s="7" t="s">
        <v>14</v>
      </c>
      <c r="J34" s="8"/>
      <c r="K34" s="10" t="s">
        <v>26</v>
      </c>
      <c r="L34" s="10" t="s">
        <v>8</v>
      </c>
      <c r="M34" s="11" t="s">
        <v>9</v>
      </c>
      <c r="N34" s="11" t="s">
        <v>10</v>
      </c>
      <c r="Q34" s="7" t="s">
        <v>14</v>
      </c>
      <c r="R34" s="8"/>
      <c r="S34" s="10" t="s">
        <v>26</v>
      </c>
      <c r="T34" s="10" t="s">
        <v>8</v>
      </c>
      <c r="U34" s="11" t="s">
        <v>9</v>
      </c>
      <c r="V34" s="11" t="s">
        <v>10</v>
      </c>
      <c r="Y34" s="7" t="s">
        <v>14</v>
      </c>
      <c r="Z34" s="8"/>
      <c r="AA34" s="10" t="s">
        <v>26</v>
      </c>
      <c r="AB34" s="10" t="s">
        <v>8</v>
      </c>
      <c r="AC34" s="11" t="s">
        <v>9</v>
      </c>
      <c r="AD34" s="11" t="s">
        <v>10</v>
      </c>
    </row>
    <row r="35" spans="1:30" x14ac:dyDescent="0.3">
      <c r="B35" s="4" t="s">
        <v>16</v>
      </c>
      <c r="C35" t="s">
        <v>17</v>
      </c>
      <c r="D35" t="s">
        <v>17</v>
      </c>
      <c r="E35" t="s">
        <v>17</v>
      </c>
      <c r="F35" t="s">
        <v>17</v>
      </c>
      <c r="J35" s="4" t="s">
        <v>16</v>
      </c>
      <c r="K35" t="s">
        <v>17</v>
      </c>
      <c r="L35" t="s">
        <v>17</v>
      </c>
      <c r="M35" t="s">
        <v>17</v>
      </c>
      <c r="N35" t="s">
        <v>17</v>
      </c>
      <c r="R35" s="4" t="s">
        <v>16</v>
      </c>
      <c r="S35" t="s">
        <v>17</v>
      </c>
      <c r="T35" t="s">
        <v>17</v>
      </c>
      <c r="U35" t="s">
        <v>17</v>
      </c>
      <c r="V35" t="s">
        <v>17</v>
      </c>
      <c r="Z35" s="4" t="s">
        <v>16</v>
      </c>
      <c r="AA35" t="s">
        <v>17</v>
      </c>
      <c r="AB35" t="s">
        <v>17</v>
      </c>
      <c r="AC35" t="s">
        <v>17</v>
      </c>
      <c r="AD35" t="s">
        <v>17</v>
      </c>
    </row>
    <row r="36" spans="1:30" x14ac:dyDescent="0.3">
      <c r="A36" s="4" t="s">
        <v>13</v>
      </c>
      <c r="B36" s="4">
        <v>1</v>
      </c>
      <c r="C36">
        <v>13241.050999999999</v>
      </c>
      <c r="D36">
        <v>65075.661999999997</v>
      </c>
      <c r="E36">
        <v>16055.946</v>
      </c>
      <c r="F36">
        <v>0</v>
      </c>
      <c r="I36" s="4" t="s">
        <v>13</v>
      </c>
      <c r="J36" s="4">
        <v>1</v>
      </c>
      <c r="K36">
        <v>0</v>
      </c>
      <c r="L36">
        <v>31094.673999999999</v>
      </c>
      <c r="M36">
        <v>0</v>
      </c>
      <c r="N36">
        <v>0</v>
      </c>
      <c r="Q36" s="4" t="s">
        <v>13</v>
      </c>
      <c r="R36" s="4">
        <v>1</v>
      </c>
      <c r="S36">
        <v>0</v>
      </c>
      <c r="T36">
        <v>34141.347999999998</v>
      </c>
      <c r="U36">
        <v>0</v>
      </c>
      <c r="V36">
        <v>0</v>
      </c>
      <c r="Y36" s="4" t="s">
        <v>13</v>
      </c>
      <c r="Z36" s="4">
        <v>1</v>
      </c>
      <c r="AA36">
        <v>0</v>
      </c>
      <c r="AB36">
        <v>394304.26</v>
      </c>
      <c r="AC36">
        <v>0</v>
      </c>
      <c r="AD36">
        <v>27055.697</v>
      </c>
    </row>
    <row r="37" spans="1:30" x14ac:dyDescent="0.3">
      <c r="A37" s="4"/>
      <c r="B37" s="4">
        <v>2</v>
      </c>
      <c r="C37">
        <v>9380.8250000000007</v>
      </c>
      <c r="D37">
        <v>82967.172000000006</v>
      </c>
      <c r="E37">
        <v>6297.2539999999999</v>
      </c>
      <c r="F37">
        <v>0</v>
      </c>
      <c r="I37" s="4"/>
      <c r="J37" s="4">
        <v>2</v>
      </c>
      <c r="K37">
        <v>0</v>
      </c>
      <c r="L37">
        <v>23037.276999999998</v>
      </c>
      <c r="M37">
        <v>0</v>
      </c>
      <c r="N37">
        <v>0</v>
      </c>
      <c r="Q37" s="4"/>
      <c r="R37" s="4">
        <v>2</v>
      </c>
      <c r="S37">
        <v>0</v>
      </c>
      <c r="T37">
        <v>40168.858999999997</v>
      </c>
      <c r="U37">
        <v>0</v>
      </c>
      <c r="V37">
        <v>0</v>
      </c>
      <c r="Y37" s="4"/>
      <c r="Z37" s="4">
        <v>2</v>
      </c>
      <c r="AA37">
        <v>0</v>
      </c>
      <c r="AB37">
        <v>496328.96799999999</v>
      </c>
      <c r="AC37">
        <v>0</v>
      </c>
      <c r="AD37">
        <v>54657.285000000003</v>
      </c>
    </row>
    <row r="38" spans="1:30" x14ac:dyDescent="0.3">
      <c r="A38" s="4"/>
      <c r="B38" s="4">
        <v>3</v>
      </c>
      <c r="C38">
        <v>10790.919</v>
      </c>
      <c r="D38">
        <v>96285.327999999994</v>
      </c>
      <c r="E38">
        <v>23561.321</v>
      </c>
      <c r="F38">
        <v>0</v>
      </c>
      <c r="I38" s="4"/>
      <c r="J38" s="4">
        <v>3</v>
      </c>
      <c r="K38">
        <v>0</v>
      </c>
      <c r="L38">
        <v>22020.68</v>
      </c>
      <c r="M38">
        <v>0</v>
      </c>
      <c r="N38">
        <v>0</v>
      </c>
      <c r="Q38" s="4"/>
      <c r="R38" s="4">
        <v>3</v>
      </c>
      <c r="S38">
        <v>0</v>
      </c>
      <c r="T38">
        <v>46782.483999999997</v>
      </c>
      <c r="U38">
        <v>0</v>
      </c>
      <c r="V38">
        <v>0</v>
      </c>
      <c r="Y38" s="4"/>
      <c r="Z38" s="4">
        <v>3</v>
      </c>
      <c r="AA38">
        <v>0</v>
      </c>
      <c r="AB38">
        <v>537516.96200000006</v>
      </c>
      <c r="AC38">
        <v>0</v>
      </c>
      <c r="AD38">
        <v>45588.826999999997</v>
      </c>
    </row>
    <row r="42" spans="1:30" ht="18" x14ac:dyDescent="0.35">
      <c r="A42" s="7" t="s">
        <v>15</v>
      </c>
      <c r="B42" s="8"/>
      <c r="C42" s="10" t="s">
        <v>26</v>
      </c>
      <c r="D42" s="10" t="s">
        <v>8</v>
      </c>
      <c r="E42" s="11" t="s">
        <v>9</v>
      </c>
      <c r="F42" s="11" t="s">
        <v>10</v>
      </c>
      <c r="I42" s="7" t="s">
        <v>15</v>
      </c>
      <c r="J42" s="8"/>
      <c r="K42" s="10" t="s">
        <v>26</v>
      </c>
      <c r="L42" s="10" t="s">
        <v>8</v>
      </c>
      <c r="M42" s="11" t="s">
        <v>9</v>
      </c>
      <c r="N42" s="11" t="s">
        <v>10</v>
      </c>
      <c r="Q42" s="7" t="s">
        <v>15</v>
      </c>
      <c r="R42" s="8"/>
      <c r="S42" s="10" t="s">
        <v>26</v>
      </c>
      <c r="T42" s="10" t="s">
        <v>8</v>
      </c>
      <c r="U42" s="11" t="s">
        <v>9</v>
      </c>
      <c r="V42" s="11" t="s">
        <v>10</v>
      </c>
      <c r="Y42" s="7" t="s">
        <v>15</v>
      </c>
      <c r="Z42" s="8"/>
      <c r="AA42" s="10" t="s">
        <v>26</v>
      </c>
      <c r="AB42" s="10" t="s">
        <v>8</v>
      </c>
      <c r="AC42" s="11" t="s">
        <v>9</v>
      </c>
      <c r="AD42" s="11" t="s">
        <v>10</v>
      </c>
    </row>
    <row r="43" spans="1:30" x14ac:dyDescent="0.3">
      <c r="B43" s="4" t="s">
        <v>16</v>
      </c>
      <c r="C43" t="s">
        <v>17</v>
      </c>
      <c r="D43" t="s">
        <v>17</v>
      </c>
      <c r="E43" t="s">
        <v>17</v>
      </c>
      <c r="F43" t="s">
        <v>17</v>
      </c>
      <c r="J43" s="4" t="s">
        <v>16</v>
      </c>
      <c r="K43" t="s">
        <v>17</v>
      </c>
      <c r="L43" t="s">
        <v>17</v>
      </c>
      <c r="M43" t="s">
        <v>17</v>
      </c>
      <c r="N43" t="s">
        <v>17</v>
      </c>
      <c r="R43" s="4" t="s">
        <v>16</v>
      </c>
      <c r="S43" t="s">
        <v>17</v>
      </c>
      <c r="T43" t="s">
        <v>17</v>
      </c>
      <c r="U43" t="s">
        <v>17</v>
      </c>
      <c r="V43" t="s">
        <v>17</v>
      </c>
      <c r="Z43" s="4" t="s">
        <v>16</v>
      </c>
      <c r="AA43" t="s">
        <v>17</v>
      </c>
      <c r="AB43" t="s">
        <v>17</v>
      </c>
      <c r="AC43" t="s">
        <v>17</v>
      </c>
      <c r="AD43" t="s">
        <v>17</v>
      </c>
    </row>
    <row r="44" spans="1:30" x14ac:dyDescent="0.3">
      <c r="A44" s="4" t="s">
        <v>13</v>
      </c>
      <c r="B44" s="4">
        <v>1</v>
      </c>
      <c r="C44">
        <v>215844.67199999999</v>
      </c>
      <c r="D44">
        <v>278899.71899999998</v>
      </c>
      <c r="E44">
        <v>96375.593999999997</v>
      </c>
      <c r="F44">
        <v>0</v>
      </c>
      <c r="I44" s="4" t="s">
        <v>13</v>
      </c>
      <c r="J44" s="4">
        <v>1</v>
      </c>
      <c r="K44">
        <v>3112.3589999999999</v>
      </c>
      <c r="L44">
        <v>182669.42199999999</v>
      </c>
      <c r="M44">
        <v>1576.5070000000001</v>
      </c>
      <c r="N44">
        <v>0</v>
      </c>
      <c r="Q44" s="4" t="s">
        <v>13</v>
      </c>
      <c r="R44" s="4">
        <v>1</v>
      </c>
      <c r="S44">
        <v>0</v>
      </c>
      <c r="T44">
        <v>114857.93799999999</v>
      </c>
      <c r="U44">
        <v>0</v>
      </c>
      <c r="V44">
        <v>0</v>
      </c>
      <c r="Y44" s="4" t="s">
        <v>13</v>
      </c>
      <c r="Z44" s="4">
        <v>1</v>
      </c>
      <c r="AA44">
        <v>24584.294999999998</v>
      </c>
      <c r="AB44">
        <v>671910.755</v>
      </c>
      <c r="AC44">
        <v>10427.291999999999</v>
      </c>
      <c r="AD44">
        <v>15468.258</v>
      </c>
    </row>
    <row r="45" spans="1:30" x14ac:dyDescent="0.3">
      <c r="A45" s="4"/>
      <c r="B45" s="4">
        <v>2</v>
      </c>
      <c r="C45">
        <v>191380</v>
      </c>
      <c r="D45">
        <v>511712.21899999998</v>
      </c>
      <c r="E45">
        <v>39986.362999999998</v>
      </c>
      <c r="F45">
        <v>0</v>
      </c>
      <c r="I45" s="4"/>
      <c r="J45" s="4">
        <v>2</v>
      </c>
      <c r="K45">
        <v>2210.558</v>
      </c>
      <c r="L45">
        <v>118496.367</v>
      </c>
      <c r="M45">
        <v>0</v>
      </c>
      <c r="N45">
        <v>0</v>
      </c>
      <c r="Q45" s="4"/>
      <c r="R45" s="4">
        <v>2</v>
      </c>
      <c r="S45">
        <v>0</v>
      </c>
      <c r="T45">
        <v>103611.344</v>
      </c>
      <c r="U45">
        <v>0</v>
      </c>
      <c r="V45">
        <v>0</v>
      </c>
      <c r="Y45" s="4"/>
      <c r="Z45" s="4">
        <v>2</v>
      </c>
      <c r="AA45">
        <v>23027.526999999998</v>
      </c>
      <c r="AB45">
        <v>1107662.192</v>
      </c>
      <c r="AC45">
        <v>5540.3109999999997</v>
      </c>
      <c r="AD45">
        <v>23262.346000000001</v>
      </c>
    </row>
    <row r="46" spans="1:30" x14ac:dyDescent="0.3">
      <c r="A46" s="4"/>
      <c r="B46" s="4">
        <v>3</v>
      </c>
      <c r="C46">
        <v>174496.78099999999</v>
      </c>
      <c r="D46">
        <v>527498.68799999997</v>
      </c>
      <c r="E46">
        <v>31180.761999999999</v>
      </c>
      <c r="F46">
        <v>0</v>
      </c>
      <c r="I46" s="4"/>
      <c r="J46" s="4">
        <v>3</v>
      </c>
      <c r="K46">
        <v>2669.8029999999999</v>
      </c>
      <c r="L46">
        <v>97360.148000000001</v>
      </c>
      <c r="M46">
        <v>0</v>
      </c>
      <c r="N46">
        <v>0</v>
      </c>
      <c r="Q46" s="4"/>
      <c r="R46" s="4">
        <v>3</v>
      </c>
      <c r="S46">
        <v>0</v>
      </c>
      <c r="T46">
        <v>116771.81299999999</v>
      </c>
      <c r="U46">
        <v>0</v>
      </c>
      <c r="V46">
        <v>0</v>
      </c>
      <c r="Y46" s="4"/>
      <c r="Z46" s="4">
        <v>3</v>
      </c>
      <c r="AA46">
        <v>22135.452000000001</v>
      </c>
      <c r="AB46">
        <v>1202219.5279999999</v>
      </c>
      <c r="AC46">
        <v>4365.9709999999995</v>
      </c>
      <c r="AD46">
        <v>29072</v>
      </c>
    </row>
    <row r="47" spans="1:30" ht="18" x14ac:dyDescent="0.35">
      <c r="A47" s="1"/>
      <c r="C47" s="4"/>
      <c r="D47" s="4"/>
      <c r="E47" s="4"/>
      <c r="F47" s="4"/>
      <c r="K47" s="1"/>
      <c r="M47" s="4"/>
      <c r="N47" s="4"/>
      <c r="O47" s="4"/>
      <c r="P47" s="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6"/>
  <sheetViews>
    <sheetView topLeftCell="S1" workbookViewId="0">
      <selection activeCell="AB23" sqref="AB23"/>
    </sheetView>
  </sheetViews>
  <sheetFormatPr defaultRowHeight="14.4" x14ac:dyDescent="0.3"/>
  <cols>
    <col min="2" max="2" width="20.88671875" bestFit="1" customWidth="1"/>
    <col min="3" max="3" width="21.6640625" bestFit="1" customWidth="1"/>
    <col min="4" max="4" width="22.44140625" bestFit="1" customWidth="1"/>
    <col min="5" max="5" width="20.5546875" bestFit="1" customWidth="1"/>
    <col min="6" max="6" width="22.6640625" bestFit="1" customWidth="1"/>
    <col min="10" max="10" width="23.6640625" bestFit="1" customWidth="1"/>
    <col min="11" max="11" width="11.88671875" bestFit="1" customWidth="1"/>
    <col min="12" max="12" width="22.44140625" bestFit="1" customWidth="1"/>
    <col min="13" max="13" width="12.109375" bestFit="1" customWidth="1"/>
    <col min="14" max="14" width="22.6640625" bestFit="1" customWidth="1"/>
    <col min="18" max="18" width="25.109375" bestFit="1" customWidth="1"/>
    <col min="19" max="19" width="11.88671875" bestFit="1" customWidth="1"/>
    <col min="20" max="20" width="22.44140625" bestFit="1" customWidth="1"/>
    <col min="21" max="21" width="12.109375" bestFit="1" customWidth="1"/>
    <col min="22" max="22" width="22.6640625" bestFit="1" customWidth="1"/>
    <col min="26" max="26" width="25.109375" bestFit="1" customWidth="1"/>
    <col min="27" max="27" width="20.5546875" bestFit="1" customWidth="1"/>
    <col min="28" max="28" width="22.44140625" bestFit="1" customWidth="1"/>
    <col min="29" max="29" width="12.109375" bestFit="1" customWidth="1"/>
    <col min="30" max="30" width="22.6640625" bestFit="1" customWidth="1"/>
  </cols>
  <sheetData>
    <row r="1" spans="1:30" ht="18" x14ac:dyDescent="0.35">
      <c r="B1" s="1" t="s">
        <v>38</v>
      </c>
      <c r="C1" s="1" t="s">
        <v>33</v>
      </c>
      <c r="J1" s="1" t="s">
        <v>37</v>
      </c>
      <c r="K1" s="1" t="s">
        <v>28</v>
      </c>
      <c r="R1" s="1" t="s">
        <v>36</v>
      </c>
      <c r="S1" s="1" t="s">
        <v>39</v>
      </c>
      <c r="Z1" s="1" t="s">
        <v>35</v>
      </c>
      <c r="AA1" s="1" t="s">
        <v>40</v>
      </c>
    </row>
    <row r="2" spans="1:30" ht="18" x14ac:dyDescent="0.35">
      <c r="A2" s="1" t="s">
        <v>0</v>
      </c>
      <c r="C2" s="6" t="s">
        <v>26</v>
      </c>
      <c r="D2" s="6" t="s">
        <v>8</v>
      </c>
      <c r="E2" s="5" t="s">
        <v>9</v>
      </c>
      <c r="F2" s="5" t="s">
        <v>10</v>
      </c>
      <c r="I2" s="1" t="s">
        <v>0</v>
      </c>
      <c r="K2" s="6" t="s">
        <v>26</v>
      </c>
      <c r="L2" s="6" t="s">
        <v>8</v>
      </c>
      <c r="M2" s="5" t="s">
        <v>9</v>
      </c>
      <c r="N2" s="5" t="s">
        <v>10</v>
      </c>
      <c r="Q2" s="1" t="s">
        <v>0</v>
      </c>
      <c r="S2" s="6" t="s">
        <v>26</v>
      </c>
      <c r="T2" s="6" t="s">
        <v>8</v>
      </c>
      <c r="U2" s="5" t="s">
        <v>9</v>
      </c>
      <c r="V2" s="5" t="s">
        <v>10</v>
      </c>
      <c r="Y2" s="1" t="s">
        <v>0</v>
      </c>
      <c r="AA2" s="6" t="s">
        <v>26</v>
      </c>
      <c r="AB2" s="6" t="s">
        <v>8</v>
      </c>
      <c r="AC2" s="5" t="s">
        <v>9</v>
      </c>
      <c r="AD2" s="5" t="s">
        <v>10</v>
      </c>
    </row>
    <row r="3" spans="1:30" x14ac:dyDescent="0.3">
      <c r="B3" s="4" t="s">
        <v>11</v>
      </c>
      <c r="C3" t="s">
        <v>12</v>
      </c>
      <c r="D3" t="s">
        <v>12</v>
      </c>
      <c r="E3" t="s">
        <v>12</v>
      </c>
      <c r="F3" t="s">
        <v>12</v>
      </c>
      <c r="J3" s="4" t="s">
        <v>11</v>
      </c>
      <c r="K3" t="s">
        <v>12</v>
      </c>
      <c r="L3" t="s">
        <v>12</v>
      </c>
      <c r="M3" t="s">
        <v>12</v>
      </c>
      <c r="N3" t="s">
        <v>12</v>
      </c>
      <c r="R3" s="4" t="s">
        <v>11</v>
      </c>
      <c r="S3" t="s">
        <v>12</v>
      </c>
      <c r="T3" t="s">
        <v>12</v>
      </c>
      <c r="U3" t="s">
        <v>12</v>
      </c>
      <c r="V3" t="s">
        <v>12</v>
      </c>
      <c r="Z3" s="4" t="s">
        <v>11</v>
      </c>
      <c r="AA3" t="s">
        <v>12</v>
      </c>
      <c r="AB3" t="s">
        <v>12</v>
      </c>
      <c r="AC3" t="s">
        <v>12</v>
      </c>
      <c r="AD3" t="s">
        <v>12</v>
      </c>
    </row>
    <row r="4" spans="1:30" x14ac:dyDescent="0.3">
      <c r="A4" s="4" t="s">
        <v>13</v>
      </c>
      <c r="B4" s="4">
        <v>1</v>
      </c>
      <c r="C4">
        <v>0</v>
      </c>
      <c r="D4">
        <v>0</v>
      </c>
      <c r="E4">
        <v>0</v>
      </c>
      <c r="F4">
        <v>0</v>
      </c>
      <c r="I4" s="4" t="s">
        <v>13</v>
      </c>
      <c r="J4" s="4">
        <v>1</v>
      </c>
      <c r="K4">
        <v>0</v>
      </c>
      <c r="L4">
        <v>0</v>
      </c>
      <c r="M4">
        <v>0</v>
      </c>
      <c r="N4">
        <v>0</v>
      </c>
      <c r="Q4" s="4" t="s">
        <v>13</v>
      </c>
      <c r="R4" s="4">
        <v>1</v>
      </c>
      <c r="S4" s="12">
        <v>0</v>
      </c>
      <c r="T4" s="12">
        <v>0</v>
      </c>
      <c r="U4" s="12">
        <v>0</v>
      </c>
      <c r="V4" s="12">
        <v>0</v>
      </c>
      <c r="Y4" s="4" t="s">
        <v>13</v>
      </c>
      <c r="Z4" s="4">
        <v>1</v>
      </c>
      <c r="AA4" s="12">
        <v>0</v>
      </c>
      <c r="AB4" s="12">
        <v>0</v>
      </c>
      <c r="AC4" s="12">
        <v>0</v>
      </c>
      <c r="AD4" s="12">
        <v>0</v>
      </c>
    </row>
    <row r="5" spans="1:30" x14ac:dyDescent="0.3">
      <c r="A5" s="4"/>
      <c r="B5" s="4">
        <v>2</v>
      </c>
      <c r="C5">
        <v>0</v>
      </c>
      <c r="D5">
        <v>0</v>
      </c>
      <c r="E5">
        <v>0</v>
      </c>
      <c r="F5">
        <v>0</v>
      </c>
      <c r="I5" s="4"/>
      <c r="J5" s="4">
        <v>2</v>
      </c>
      <c r="K5">
        <v>0</v>
      </c>
      <c r="L5">
        <v>0</v>
      </c>
      <c r="M5">
        <v>0</v>
      </c>
      <c r="N5">
        <v>0</v>
      </c>
      <c r="Q5" s="4"/>
      <c r="R5" s="4">
        <v>2</v>
      </c>
      <c r="S5" s="12">
        <v>0</v>
      </c>
      <c r="T5" s="12">
        <v>0</v>
      </c>
      <c r="U5" s="12">
        <v>0</v>
      </c>
      <c r="V5" s="12">
        <v>0</v>
      </c>
      <c r="Y5" s="4"/>
      <c r="Z5" s="4">
        <v>2</v>
      </c>
      <c r="AA5" s="12">
        <v>0</v>
      </c>
      <c r="AB5" s="12">
        <v>0</v>
      </c>
      <c r="AC5" s="12">
        <v>0</v>
      </c>
      <c r="AD5" s="12">
        <v>0</v>
      </c>
    </row>
    <row r="6" spans="1:30" x14ac:dyDescent="0.3">
      <c r="A6" s="4"/>
      <c r="B6" s="4">
        <v>3</v>
      </c>
      <c r="C6">
        <v>0</v>
      </c>
      <c r="D6">
        <v>0</v>
      </c>
      <c r="E6">
        <v>0</v>
      </c>
      <c r="F6">
        <v>0</v>
      </c>
      <c r="I6" s="4"/>
      <c r="J6" s="4">
        <v>3</v>
      </c>
      <c r="K6">
        <v>0</v>
      </c>
      <c r="L6">
        <v>0</v>
      </c>
      <c r="M6">
        <v>0</v>
      </c>
      <c r="N6">
        <v>0</v>
      </c>
      <c r="Q6" s="4"/>
      <c r="R6" s="4">
        <v>3</v>
      </c>
      <c r="S6" s="12">
        <v>0</v>
      </c>
      <c r="T6" s="12">
        <v>0</v>
      </c>
      <c r="U6" s="12">
        <v>0</v>
      </c>
      <c r="V6" s="12">
        <v>0</v>
      </c>
      <c r="Y6" s="4"/>
      <c r="Z6" s="4">
        <v>3</v>
      </c>
      <c r="AA6" s="12">
        <v>0</v>
      </c>
      <c r="AB6" s="12">
        <v>0</v>
      </c>
      <c r="AC6" s="12">
        <v>0</v>
      </c>
      <c r="AD6" s="12">
        <v>0</v>
      </c>
    </row>
    <row r="7" spans="1:30" x14ac:dyDescent="0.3">
      <c r="S7" s="12"/>
      <c r="T7" s="12"/>
      <c r="U7" s="12"/>
      <c r="V7" s="12"/>
      <c r="AA7" s="12"/>
      <c r="AB7" s="12"/>
      <c r="AC7" s="12"/>
      <c r="AD7" s="12"/>
    </row>
    <row r="8" spans="1:30" x14ac:dyDescent="0.3">
      <c r="S8" s="12"/>
      <c r="T8" s="12"/>
      <c r="U8" s="12"/>
      <c r="V8" s="12"/>
      <c r="AA8" s="12"/>
      <c r="AB8" s="12"/>
      <c r="AC8" s="12"/>
      <c r="AD8" s="12"/>
    </row>
    <row r="9" spans="1:30" x14ac:dyDescent="0.3">
      <c r="S9" s="12"/>
      <c r="T9" s="12"/>
      <c r="U9" s="12"/>
      <c r="V9" s="12"/>
      <c r="AA9" s="12"/>
      <c r="AB9" s="12"/>
      <c r="AC9" s="12"/>
      <c r="AD9" s="12"/>
    </row>
    <row r="10" spans="1:30" ht="18" x14ac:dyDescent="0.35">
      <c r="A10" s="1" t="s">
        <v>14</v>
      </c>
      <c r="C10" s="6" t="s">
        <v>26</v>
      </c>
      <c r="D10" s="6" t="s">
        <v>8</v>
      </c>
      <c r="E10" s="5" t="s">
        <v>9</v>
      </c>
      <c r="F10" s="5" t="s">
        <v>10</v>
      </c>
      <c r="I10" s="1" t="s">
        <v>14</v>
      </c>
      <c r="K10" s="6" t="s">
        <v>26</v>
      </c>
      <c r="L10" s="6" t="s">
        <v>8</v>
      </c>
      <c r="M10" s="5" t="s">
        <v>9</v>
      </c>
      <c r="N10" s="5" t="s">
        <v>10</v>
      </c>
      <c r="Q10" s="1" t="s">
        <v>14</v>
      </c>
      <c r="S10" s="19" t="s">
        <v>26</v>
      </c>
      <c r="T10" s="19" t="s">
        <v>8</v>
      </c>
      <c r="U10" s="20" t="s">
        <v>9</v>
      </c>
      <c r="V10" s="20" t="s">
        <v>10</v>
      </c>
      <c r="Y10" s="1" t="s">
        <v>14</v>
      </c>
      <c r="AA10" s="19" t="s">
        <v>26</v>
      </c>
      <c r="AB10" s="19" t="s">
        <v>8</v>
      </c>
      <c r="AC10" s="20" t="s">
        <v>9</v>
      </c>
      <c r="AD10" s="20" t="s">
        <v>10</v>
      </c>
    </row>
    <row r="11" spans="1:30" x14ac:dyDescent="0.3">
      <c r="B11" s="4" t="s">
        <v>11</v>
      </c>
      <c r="C11" t="s">
        <v>12</v>
      </c>
      <c r="D11" t="s">
        <v>12</v>
      </c>
      <c r="E11" t="s">
        <v>12</v>
      </c>
      <c r="F11" t="s">
        <v>12</v>
      </c>
      <c r="J11" s="4" t="s">
        <v>11</v>
      </c>
      <c r="K11" t="s">
        <v>12</v>
      </c>
      <c r="L11" t="s">
        <v>12</v>
      </c>
      <c r="M11" t="s">
        <v>12</v>
      </c>
      <c r="N11" t="s">
        <v>12</v>
      </c>
      <c r="R11" s="4" t="s">
        <v>11</v>
      </c>
      <c r="S11" s="12" t="s">
        <v>12</v>
      </c>
      <c r="T11" s="12" t="s">
        <v>12</v>
      </c>
      <c r="U11" s="12" t="s">
        <v>12</v>
      </c>
      <c r="V11" s="12" t="s">
        <v>12</v>
      </c>
      <c r="Z11" s="4" t="s">
        <v>11</v>
      </c>
      <c r="AA11" s="12" t="s">
        <v>12</v>
      </c>
      <c r="AB11" s="12" t="s">
        <v>12</v>
      </c>
      <c r="AC11" s="12" t="s">
        <v>12</v>
      </c>
      <c r="AD11" s="12" t="s">
        <v>12</v>
      </c>
    </row>
    <row r="12" spans="1:30" x14ac:dyDescent="0.3">
      <c r="A12" s="4" t="s">
        <v>13</v>
      </c>
      <c r="B12" s="4">
        <v>1</v>
      </c>
      <c r="C12" s="12">
        <v>3460.9902999999999</v>
      </c>
      <c r="D12" s="12">
        <v>17142.878199999999</v>
      </c>
      <c r="E12" s="12">
        <v>4102.5087000000003</v>
      </c>
      <c r="F12" s="12">
        <v>397.79660000000001</v>
      </c>
      <c r="I12" s="4" t="s">
        <v>13</v>
      </c>
      <c r="J12" s="4">
        <v>1</v>
      </c>
      <c r="K12" s="12">
        <v>0</v>
      </c>
      <c r="L12" s="12">
        <v>4564.7575999999999</v>
      </c>
      <c r="M12" s="12">
        <v>0</v>
      </c>
      <c r="N12" s="12">
        <v>0</v>
      </c>
      <c r="Q12" s="4" t="s">
        <v>13</v>
      </c>
      <c r="R12" s="4">
        <v>1</v>
      </c>
      <c r="S12" s="12">
        <v>0</v>
      </c>
      <c r="T12" s="12">
        <v>2864.7186999999999</v>
      </c>
      <c r="U12" s="12">
        <v>0</v>
      </c>
      <c r="V12" s="12">
        <v>0</v>
      </c>
      <c r="Y12" s="4" t="s">
        <v>13</v>
      </c>
      <c r="Z12" s="4">
        <v>1</v>
      </c>
      <c r="AA12" s="12">
        <v>0</v>
      </c>
      <c r="AB12" s="12">
        <v>28732.137200000001</v>
      </c>
      <c r="AC12" s="12">
        <v>0</v>
      </c>
      <c r="AD12" s="12">
        <v>5137.4979000000003</v>
      </c>
    </row>
    <row r="13" spans="1:30" x14ac:dyDescent="0.3">
      <c r="A13" s="4"/>
      <c r="B13" s="4">
        <v>2</v>
      </c>
      <c r="C13" s="12">
        <v>2946.8975999999998</v>
      </c>
      <c r="D13" s="12">
        <v>19773.6682</v>
      </c>
      <c r="E13" s="12">
        <v>1800.8896999999999</v>
      </c>
      <c r="F13" s="12">
        <v>916.19569999999999</v>
      </c>
      <c r="I13" s="4"/>
      <c r="J13" s="4">
        <v>2</v>
      </c>
      <c r="K13" s="12">
        <v>0</v>
      </c>
      <c r="L13" s="12">
        <v>3892.6558</v>
      </c>
      <c r="M13" s="12">
        <v>0</v>
      </c>
      <c r="N13" s="12">
        <v>0</v>
      </c>
      <c r="Q13" s="4"/>
      <c r="R13" s="4">
        <v>2</v>
      </c>
      <c r="S13" s="12">
        <v>0</v>
      </c>
      <c r="T13" s="12">
        <v>2526.1943999999999</v>
      </c>
      <c r="U13" s="12">
        <v>0</v>
      </c>
      <c r="V13" s="12">
        <v>0</v>
      </c>
      <c r="Y13" s="4"/>
      <c r="Z13" s="4">
        <v>2</v>
      </c>
      <c r="AA13" s="12">
        <v>0</v>
      </c>
      <c r="AB13" s="12">
        <v>32188.811900000001</v>
      </c>
      <c r="AC13" s="12">
        <v>0</v>
      </c>
      <c r="AD13" s="12">
        <v>7706.8869999999997</v>
      </c>
    </row>
    <row r="14" spans="1:30" x14ac:dyDescent="0.3">
      <c r="A14" s="4"/>
      <c r="B14" s="4">
        <v>3</v>
      </c>
      <c r="C14" s="12">
        <v>2886.7836000000002</v>
      </c>
      <c r="D14" s="12">
        <v>22174.310700000002</v>
      </c>
      <c r="E14" s="12">
        <v>6800.0086000000001</v>
      </c>
      <c r="F14" s="12">
        <v>708.61969999999997</v>
      </c>
      <c r="I14" s="4"/>
      <c r="J14" s="4">
        <v>3</v>
      </c>
      <c r="K14" s="12">
        <v>0</v>
      </c>
      <c r="L14" s="12">
        <v>2556.3757999999998</v>
      </c>
      <c r="M14" s="12">
        <v>0</v>
      </c>
      <c r="N14" s="12">
        <v>0</v>
      </c>
      <c r="Q14" s="4"/>
      <c r="R14" s="4">
        <v>3</v>
      </c>
      <c r="S14" s="12">
        <v>0</v>
      </c>
      <c r="T14" s="12">
        <v>2536.0133999999998</v>
      </c>
      <c r="U14" s="12">
        <v>0</v>
      </c>
      <c r="V14" s="12">
        <v>0</v>
      </c>
      <c r="Y14" s="4"/>
      <c r="Z14" s="4">
        <v>3</v>
      </c>
      <c r="AA14" s="12">
        <v>0</v>
      </c>
      <c r="AB14" s="12">
        <v>34138.724600000001</v>
      </c>
      <c r="AC14" s="12">
        <v>0</v>
      </c>
      <c r="AD14" s="12">
        <v>7869.3077999999996</v>
      </c>
    </row>
    <row r="15" spans="1:30" x14ac:dyDescent="0.3">
      <c r="B15" t="s">
        <v>59</v>
      </c>
      <c r="C15" s="12">
        <f>AVERAGE(C12:C14)</f>
        <v>3098.2238333333335</v>
      </c>
      <c r="D15" s="12">
        <f t="shared" ref="D15:F15" si="0">AVERAGE(D12:D14)</f>
        <v>19696.952366666668</v>
      </c>
      <c r="E15" s="12">
        <f t="shared" si="0"/>
        <v>4234.4690000000001</v>
      </c>
      <c r="F15" s="12">
        <f t="shared" si="0"/>
        <v>674.20399999999995</v>
      </c>
      <c r="J15" t="s">
        <v>59</v>
      </c>
      <c r="K15" s="12">
        <f>AVERAGE(K12:K14)</f>
        <v>0</v>
      </c>
      <c r="L15" s="12">
        <f t="shared" ref="L15:N15" si="1">AVERAGE(L12:L14)</f>
        <v>3671.2630666666664</v>
      </c>
      <c r="M15" s="12">
        <f t="shared" si="1"/>
        <v>0</v>
      </c>
      <c r="N15" s="12">
        <f t="shared" si="1"/>
        <v>0</v>
      </c>
      <c r="R15" t="s">
        <v>59</v>
      </c>
      <c r="S15" s="12">
        <f>AVERAGE(S12:S14)</f>
        <v>0</v>
      </c>
      <c r="T15" s="12">
        <f t="shared" ref="T15:V15" si="2">AVERAGE(T12:T14)</f>
        <v>2642.308833333333</v>
      </c>
      <c r="U15" s="12">
        <f t="shared" si="2"/>
        <v>0</v>
      </c>
      <c r="V15" s="12">
        <f t="shared" si="2"/>
        <v>0</v>
      </c>
      <c r="Z15" t="s">
        <v>59</v>
      </c>
      <c r="AA15" s="12">
        <f>AVERAGE(AA12:AA14)</f>
        <v>0</v>
      </c>
      <c r="AB15" s="12">
        <f t="shared" ref="AB15:AD15" si="3">AVERAGE(AB12:AB14)</f>
        <v>31686.5579</v>
      </c>
      <c r="AC15" s="12">
        <f t="shared" si="3"/>
        <v>0</v>
      </c>
      <c r="AD15" s="12">
        <f t="shared" si="3"/>
        <v>6904.5642333333335</v>
      </c>
    </row>
    <row r="16" spans="1:30" x14ac:dyDescent="0.3">
      <c r="S16" s="12"/>
      <c r="T16" s="12"/>
      <c r="U16" s="12"/>
      <c r="V16" s="12"/>
      <c r="AA16" s="12"/>
      <c r="AB16" s="12"/>
      <c r="AC16" s="12"/>
      <c r="AD16" s="12"/>
    </row>
    <row r="17" spans="1:30" x14ac:dyDescent="0.3">
      <c r="S17" s="12"/>
      <c r="T17" s="12"/>
      <c r="U17" s="12"/>
      <c r="V17" s="12"/>
      <c r="AA17" s="12"/>
      <c r="AB17" s="12"/>
      <c r="AC17" s="12"/>
      <c r="AD17" s="12"/>
    </row>
    <row r="18" spans="1:30" ht="18" x14ac:dyDescent="0.35">
      <c r="A18" s="1" t="s">
        <v>15</v>
      </c>
      <c r="C18" s="6" t="s">
        <v>26</v>
      </c>
      <c r="D18" s="6" t="s">
        <v>8</v>
      </c>
      <c r="E18" s="5" t="s">
        <v>9</v>
      </c>
      <c r="F18" s="5" t="s">
        <v>10</v>
      </c>
      <c r="I18" s="1" t="s">
        <v>15</v>
      </c>
      <c r="K18" s="6" t="s">
        <v>26</v>
      </c>
      <c r="L18" s="6" t="s">
        <v>8</v>
      </c>
      <c r="M18" s="5" t="s">
        <v>9</v>
      </c>
      <c r="N18" s="5" t="s">
        <v>10</v>
      </c>
      <c r="Q18" s="1" t="s">
        <v>15</v>
      </c>
      <c r="S18" s="19" t="s">
        <v>26</v>
      </c>
      <c r="T18" s="19" t="s">
        <v>8</v>
      </c>
      <c r="U18" s="20" t="s">
        <v>9</v>
      </c>
      <c r="V18" s="20" t="s">
        <v>10</v>
      </c>
      <c r="Y18" s="1" t="s">
        <v>15</v>
      </c>
      <c r="AA18" s="19" t="s">
        <v>26</v>
      </c>
      <c r="AB18" s="19" t="s">
        <v>8</v>
      </c>
      <c r="AC18" s="20" t="s">
        <v>9</v>
      </c>
      <c r="AD18" s="20" t="s">
        <v>10</v>
      </c>
    </row>
    <row r="19" spans="1:30" x14ac:dyDescent="0.3">
      <c r="B19" s="4" t="s">
        <v>11</v>
      </c>
      <c r="C19" t="s">
        <v>12</v>
      </c>
      <c r="D19" t="s">
        <v>12</v>
      </c>
      <c r="E19" t="s">
        <v>12</v>
      </c>
      <c r="F19" t="s">
        <v>12</v>
      </c>
      <c r="J19" s="4" t="s">
        <v>11</v>
      </c>
      <c r="K19" t="s">
        <v>12</v>
      </c>
      <c r="L19" t="s">
        <v>12</v>
      </c>
      <c r="M19" t="s">
        <v>12</v>
      </c>
      <c r="N19" t="s">
        <v>12</v>
      </c>
      <c r="R19" s="4" t="s">
        <v>11</v>
      </c>
      <c r="S19" s="12" t="s">
        <v>12</v>
      </c>
      <c r="T19" s="12" t="s">
        <v>12</v>
      </c>
      <c r="U19" s="12" t="s">
        <v>12</v>
      </c>
      <c r="V19" s="12" t="s">
        <v>12</v>
      </c>
      <c r="Z19" s="4" t="s">
        <v>11</v>
      </c>
      <c r="AA19" s="12" t="s">
        <v>12</v>
      </c>
      <c r="AB19" s="12" t="s">
        <v>12</v>
      </c>
      <c r="AC19" s="12" t="s">
        <v>12</v>
      </c>
      <c r="AD19" s="12" t="s">
        <v>12</v>
      </c>
    </row>
    <row r="20" spans="1:30" x14ac:dyDescent="0.3">
      <c r="A20" s="4" t="s">
        <v>13</v>
      </c>
      <c r="B20" s="4">
        <v>1</v>
      </c>
      <c r="C20" s="12">
        <v>32254.882399999999</v>
      </c>
      <c r="D20" s="12">
        <v>92013.456999999995</v>
      </c>
      <c r="E20" s="12">
        <v>17563.2287</v>
      </c>
      <c r="F20" s="12">
        <v>177.18</v>
      </c>
      <c r="I20" s="4" t="s">
        <v>13</v>
      </c>
      <c r="J20" s="4">
        <v>1</v>
      </c>
      <c r="K20" s="12">
        <v>0</v>
      </c>
      <c r="L20" s="12">
        <v>54307.993999999999</v>
      </c>
      <c r="M20" s="12">
        <v>0</v>
      </c>
      <c r="N20" s="12">
        <v>0</v>
      </c>
      <c r="Q20" s="4" t="s">
        <v>13</v>
      </c>
      <c r="R20" s="4">
        <v>1</v>
      </c>
      <c r="S20" s="12">
        <v>0</v>
      </c>
      <c r="T20" s="12">
        <v>28288.248599999999</v>
      </c>
      <c r="U20" s="12">
        <v>0</v>
      </c>
      <c r="V20" s="12">
        <v>157.9059</v>
      </c>
      <c r="Y20" s="4" t="s">
        <v>13</v>
      </c>
      <c r="Z20" s="4">
        <v>1</v>
      </c>
      <c r="AA20" s="12">
        <v>1637.3742</v>
      </c>
      <c r="AB20" s="12">
        <v>85021.594200000007</v>
      </c>
      <c r="AC20" s="12">
        <v>0</v>
      </c>
      <c r="AD20" s="12">
        <v>4540.5591999999997</v>
      </c>
    </row>
    <row r="21" spans="1:30" x14ac:dyDescent="0.3">
      <c r="A21" s="4"/>
      <c r="B21" s="4">
        <v>2</v>
      </c>
      <c r="C21" s="12">
        <v>29309.036599999999</v>
      </c>
      <c r="D21" s="12">
        <v>137613.54269999999</v>
      </c>
      <c r="E21" s="12">
        <v>8338.5483000000004</v>
      </c>
      <c r="F21" s="12">
        <v>398.63339999999999</v>
      </c>
      <c r="I21" s="4"/>
      <c r="J21" s="4">
        <v>2</v>
      </c>
      <c r="K21" s="12">
        <v>0</v>
      </c>
      <c r="L21" s="12">
        <v>28043.4162</v>
      </c>
      <c r="M21" s="12">
        <v>0</v>
      </c>
      <c r="N21" s="12">
        <v>0</v>
      </c>
      <c r="Q21" s="4"/>
      <c r="R21" s="4">
        <v>2</v>
      </c>
      <c r="S21" s="12">
        <v>0</v>
      </c>
      <c r="T21" s="12">
        <v>12319.2619</v>
      </c>
      <c r="U21" s="12">
        <v>0</v>
      </c>
      <c r="V21" s="12">
        <v>452.00240000000002</v>
      </c>
      <c r="Y21" s="4"/>
      <c r="Z21" s="4">
        <v>2</v>
      </c>
      <c r="AA21" s="12">
        <v>1264.3617999999999</v>
      </c>
      <c r="AB21" s="12">
        <v>101944.6541</v>
      </c>
      <c r="AC21" s="12">
        <v>0</v>
      </c>
      <c r="AD21" s="12">
        <v>7642.5941999999995</v>
      </c>
    </row>
    <row r="22" spans="1:30" x14ac:dyDescent="0.3">
      <c r="A22" s="4"/>
      <c r="B22" s="4">
        <v>3</v>
      </c>
      <c r="C22" s="12">
        <v>28480.2961</v>
      </c>
      <c r="D22" s="12">
        <v>133153.40210000001</v>
      </c>
      <c r="E22" s="12">
        <v>7027.8527000000004</v>
      </c>
      <c r="F22" s="12">
        <v>447.16629999999998</v>
      </c>
      <c r="I22" s="4"/>
      <c r="J22" s="4">
        <v>3</v>
      </c>
      <c r="K22" s="12">
        <v>0</v>
      </c>
      <c r="L22" s="12">
        <v>20712.195299999999</v>
      </c>
      <c r="M22" s="12">
        <v>0</v>
      </c>
      <c r="N22" s="12">
        <v>0</v>
      </c>
      <c r="Q22" s="4"/>
      <c r="R22" s="4">
        <v>3</v>
      </c>
      <c r="S22" s="12">
        <v>0</v>
      </c>
      <c r="T22" s="12">
        <v>11702.504999999999</v>
      </c>
      <c r="U22" s="12">
        <v>0</v>
      </c>
      <c r="V22" s="12">
        <v>726.53089999999997</v>
      </c>
      <c r="Y22" s="4"/>
      <c r="Z22" s="4">
        <v>3</v>
      </c>
      <c r="AA22" s="12">
        <v>1819.7535</v>
      </c>
      <c r="AB22" s="12">
        <v>110451.8849</v>
      </c>
      <c r="AC22" s="12">
        <v>0</v>
      </c>
      <c r="AD22" s="12">
        <v>8527.3166000000001</v>
      </c>
    </row>
    <row r="23" spans="1:30" x14ac:dyDescent="0.3">
      <c r="B23" t="s">
        <v>59</v>
      </c>
      <c r="C23" s="12">
        <f>AVERAGE(C20:C22)</f>
        <v>30014.738366666668</v>
      </c>
      <c r="D23" s="12">
        <f t="shared" ref="D23:F23" si="4">AVERAGE(D20:D22)</f>
        <v>120926.8006</v>
      </c>
      <c r="E23" s="12">
        <f t="shared" si="4"/>
        <v>10976.543233333336</v>
      </c>
      <c r="F23" s="12">
        <f t="shared" si="4"/>
        <v>340.99323333333331</v>
      </c>
      <c r="J23" t="s">
        <v>59</v>
      </c>
      <c r="K23" s="12">
        <f>AVERAGE(K20:K22)</f>
        <v>0</v>
      </c>
      <c r="L23" s="12">
        <f t="shared" ref="L23:N23" si="5">AVERAGE(L20:L22)</f>
        <v>34354.535166666668</v>
      </c>
      <c r="M23" s="12">
        <f t="shared" si="5"/>
        <v>0</v>
      </c>
      <c r="N23" s="12">
        <f t="shared" si="5"/>
        <v>0</v>
      </c>
      <c r="R23" t="s">
        <v>59</v>
      </c>
      <c r="S23" s="12">
        <f>AVERAGE(S20:S22)</f>
        <v>0</v>
      </c>
      <c r="T23" s="12">
        <f t="shared" ref="T23:V23" si="6">AVERAGE(T20:T22)</f>
        <v>17436.67183333333</v>
      </c>
      <c r="U23" s="12">
        <f t="shared" si="6"/>
        <v>0</v>
      </c>
      <c r="V23" s="12">
        <f t="shared" si="6"/>
        <v>445.47973333333334</v>
      </c>
      <c r="Z23" t="s">
        <v>59</v>
      </c>
      <c r="AA23" s="12">
        <f>AVERAGE(AA20:AA22)</f>
        <v>1573.8298333333332</v>
      </c>
      <c r="AB23" s="12">
        <f t="shared" ref="AB23:AD23" si="7">AVERAGE(AB20:AB22)</f>
        <v>99139.377733333342</v>
      </c>
      <c r="AC23" s="12">
        <f t="shared" si="7"/>
        <v>0</v>
      </c>
      <c r="AD23" s="12">
        <f t="shared" si="7"/>
        <v>6903.4900000000007</v>
      </c>
    </row>
    <row r="26" spans="1:30" ht="18" x14ac:dyDescent="0.35">
      <c r="A26" s="7" t="s">
        <v>0</v>
      </c>
      <c r="B26" s="8"/>
      <c r="C26" s="10" t="s">
        <v>26</v>
      </c>
      <c r="D26" s="10" t="s">
        <v>8</v>
      </c>
      <c r="E26" s="11" t="s">
        <v>9</v>
      </c>
      <c r="F26" s="11" t="s">
        <v>10</v>
      </c>
      <c r="I26" s="7" t="s">
        <v>0</v>
      </c>
      <c r="J26" s="8"/>
      <c r="K26" s="10" t="s">
        <v>26</v>
      </c>
      <c r="L26" s="10" t="s">
        <v>8</v>
      </c>
      <c r="M26" s="11" t="s">
        <v>9</v>
      </c>
      <c r="N26" s="11" t="s">
        <v>10</v>
      </c>
      <c r="Q26" s="7" t="s">
        <v>0</v>
      </c>
      <c r="R26" s="8"/>
      <c r="S26" s="10" t="s">
        <v>26</v>
      </c>
      <c r="T26" s="10" t="s">
        <v>8</v>
      </c>
      <c r="U26" s="11" t="s">
        <v>9</v>
      </c>
      <c r="V26" s="11" t="s">
        <v>10</v>
      </c>
      <c r="Y26" s="7" t="s">
        <v>0</v>
      </c>
      <c r="Z26" s="8"/>
      <c r="AA26" s="10" t="s">
        <v>26</v>
      </c>
      <c r="AB26" s="10" t="s">
        <v>8</v>
      </c>
      <c r="AC26" s="11" t="s">
        <v>9</v>
      </c>
      <c r="AD26" s="11" t="s">
        <v>10</v>
      </c>
    </row>
    <row r="27" spans="1:30" x14ac:dyDescent="0.3">
      <c r="B27" s="4" t="s">
        <v>16</v>
      </c>
      <c r="C27" t="s">
        <v>17</v>
      </c>
      <c r="D27" t="s">
        <v>17</v>
      </c>
      <c r="E27" t="s">
        <v>17</v>
      </c>
      <c r="F27" t="s">
        <v>17</v>
      </c>
      <c r="J27" s="4" t="s">
        <v>16</v>
      </c>
      <c r="K27" t="s">
        <v>17</v>
      </c>
      <c r="L27" t="s">
        <v>17</v>
      </c>
      <c r="M27" t="s">
        <v>17</v>
      </c>
      <c r="N27" t="s">
        <v>17</v>
      </c>
      <c r="R27" s="4" t="s">
        <v>16</v>
      </c>
      <c r="S27" t="s">
        <v>17</v>
      </c>
      <c r="T27" t="s">
        <v>17</v>
      </c>
      <c r="U27" t="s">
        <v>17</v>
      </c>
      <c r="V27" t="s">
        <v>17</v>
      </c>
      <c r="Z27" s="4" t="s">
        <v>16</v>
      </c>
      <c r="AA27" t="s">
        <v>17</v>
      </c>
      <c r="AB27" t="s">
        <v>17</v>
      </c>
      <c r="AC27" t="s">
        <v>17</v>
      </c>
      <c r="AD27" t="s">
        <v>17</v>
      </c>
    </row>
    <row r="28" spans="1:30" x14ac:dyDescent="0.3">
      <c r="A28" s="4" t="s">
        <v>13</v>
      </c>
      <c r="B28" s="4">
        <v>1</v>
      </c>
      <c r="C28">
        <v>0</v>
      </c>
      <c r="D28">
        <v>0</v>
      </c>
      <c r="E28">
        <v>0</v>
      </c>
      <c r="F28">
        <v>0</v>
      </c>
      <c r="I28" s="4" t="s">
        <v>13</v>
      </c>
      <c r="J28" s="4">
        <v>1</v>
      </c>
      <c r="K28">
        <v>0</v>
      </c>
      <c r="L28">
        <v>0</v>
      </c>
      <c r="M28">
        <v>0</v>
      </c>
      <c r="N28">
        <v>0</v>
      </c>
      <c r="Q28" s="4" t="s">
        <v>13</v>
      </c>
      <c r="R28" s="4">
        <v>1</v>
      </c>
      <c r="S28">
        <v>0</v>
      </c>
      <c r="T28">
        <v>0</v>
      </c>
      <c r="U28">
        <v>0</v>
      </c>
      <c r="V28">
        <v>0</v>
      </c>
      <c r="Y28" s="4" t="s">
        <v>13</v>
      </c>
      <c r="Z28" s="4">
        <v>1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 s="4"/>
      <c r="B29" s="4">
        <v>2</v>
      </c>
      <c r="C29">
        <v>0</v>
      </c>
      <c r="D29">
        <v>0</v>
      </c>
      <c r="E29">
        <v>0</v>
      </c>
      <c r="F29">
        <v>0</v>
      </c>
      <c r="I29" s="4"/>
      <c r="J29" s="4">
        <v>2</v>
      </c>
      <c r="K29">
        <v>0</v>
      </c>
      <c r="L29">
        <v>0</v>
      </c>
      <c r="M29">
        <v>0</v>
      </c>
      <c r="N29">
        <v>0</v>
      </c>
      <c r="Q29" s="4"/>
      <c r="R29" s="4">
        <v>2</v>
      </c>
      <c r="S29">
        <v>0</v>
      </c>
      <c r="T29">
        <v>0</v>
      </c>
      <c r="U29">
        <v>0</v>
      </c>
      <c r="V29">
        <v>0</v>
      </c>
      <c r="Y29" s="4"/>
      <c r="Z29" s="4">
        <v>2</v>
      </c>
      <c r="AA29">
        <v>0</v>
      </c>
      <c r="AB29">
        <v>0</v>
      </c>
      <c r="AC29">
        <v>0</v>
      </c>
      <c r="AD29">
        <v>0</v>
      </c>
    </row>
    <row r="30" spans="1:30" x14ac:dyDescent="0.3">
      <c r="A30" s="4"/>
      <c r="B30" s="4">
        <v>3</v>
      </c>
      <c r="C30">
        <v>0</v>
      </c>
      <c r="D30">
        <v>0</v>
      </c>
      <c r="E30">
        <v>0</v>
      </c>
      <c r="F30">
        <v>0</v>
      </c>
      <c r="I30" s="4"/>
      <c r="J30" s="4">
        <v>3</v>
      </c>
      <c r="K30">
        <v>0</v>
      </c>
      <c r="L30">
        <v>0</v>
      </c>
      <c r="M30">
        <v>0</v>
      </c>
      <c r="N30">
        <v>0</v>
      </c>
      <c r="Q30" s="4"/>
      <c r="R30" s="4">
        <v>3</v>
      </c>
      <c r="S30">
        <v>0</v>
      </c>
      <c r="T30">
        <v>0</v>
      </c>
      <c r="U30">
        <v>0</v>
      </c>
      <c r="V30">
        <v>0</v>
      </c>
      <c r="Y30" s="4"/>
      <c r="Z30" s="4">
        <v>3</v>
      </c>
      <c r="AA30">
        <v>0</v>
      </c>
      <c r="AB30">
        <v>0</v>
      </c>
      <c r="AC30">
        <v>0</v>
      </c>
      <c r="AD30">
        <v>0</v>
      </c>
    </row>
    <row r="34" spans="1:30" ht="18" x14ac:dyDescent="0.35">
      <c r="A34" s="7" t="s">
        <v>14</v>
      </c>
      <c r="B34" s="8"/>
      <c r="C34" s="10" t="s">
        <v>26</v>
      </c>
      <c r="D34" s="10" t="s">
        <v>8</v>
      </c>
      <c r="E34" s="11" t="s">
        <v>9</v>
      </c>
      <c r="F34" s="11" t="s">
        <v>10</v>
      </c>
      <c r="I34" s="7" t="s">
        <v>14</v>
      </c>
      <c r="J34" s="8"/>
      <c r="K34" s="10" t="s">
        <v>26</v>
      </c>
      <c r="L34" s="10" t="s">
        <v>8</v>
      </c>
      <c r="M34" s="11" t="s">
        <v>9</v>
      </c>
      <c r="N34" s="11" t="s">
        <v>10</v>
      </c>
      <c r="Q34" s="7" t="s">
        <v>14</v>
      </c>
      <c r="R34" s="8"/>
      <c r="S34" s="10" t="s">
        <v>26</v>
      </c>
      <c r="T34" s="10" t="s">
        <v>8</v>
      </c>
      <c r="U34" s="11" t="s">
        <v>9</v>
      </c>
      <c r="V34" s="11" t="s">
        <v>10</v>
      </c>
      <c r="Y34" s="7" t="s">
        <v>14</v>
      </c>
      <c r="Z34" s="8"/>
      <c r="AA34" s="10" t="s">
        <v>26</v>
      </c>
      <c r="AB34" s="10" t="s">
        <v>8</v>
      </c>
      <c r="AC34" s="11" t="s">
        <v>9</v>
      </c>
      <c r="AD34" s="11" t="s">
        <v>10</v>
      </c>
    </row>
    <row r="35" spans="1:30" x14ac:dyDescent="0.3">
      <c r="B35" s="4" t="s">
        <v>16</v>
      </c>
      <c r="C35" t="s">
        <v>17</v>
      </c>
      <c r="D35" t="s">
        <v>17</v>
      </c>
      <c r="E35" t="s">
        <v>17</v>
      </c>
      <c r="F35" t="s">
        <v>17</v>
      </c>
      <c r="J35" s="4" t="s">
        <v>16</v>
      </c>
      <c r="K35" t="s">
        <v>17</v>
      </c>
      <c r="L35" t="s">
        <v>17</v>
      </c>
      <c r="M35" t="s">
        <v>17</v>
      </c>
      <c r="N35" t="s">
        <v>17</v>
      </c>
      <c r="R35" s="4" t="s">
        <v>16</v>
      </c>
      <c r="S35" t="s">
        <v>17</v>
      </c>
      <c r="T35" t="s">
        <v>17</v>
      </c>
      <c r="U35" t="s">
        <v>17</v>
      </c>
      <c r="V35" t="s">
        <v>17</v>
      </c>
      <c r="Z35" s="4" t="s">
        <v>16</v>
      </c>
      <c r="AA35" t="s">
        <v>17</v>
      </c>
      <c r="AB35" t="s">
        <v>17</v>
      </c>
      <c r="AC35" t="s">
        <v>17</v>
      </c>
      <c r="AD35" t="s">
        <v>17</v>
      </c>
    </row>
    <row r="36" spans="1:30" x14ac:dyDescent="0.3">
      <c r="A36" s="4" t="s">
        <v>13</v>
      </c>
      <c r="B36" s="4">
        <v>1</v>
      </c>
      <c r="C36">
        <v>50867.055</v>
      </c>
      <c r="D36">
        <v>238928.766</v>
      </c>
      <c r="E36">
        <v>60324.226999999999</v>
      </c>
      <c r="F36">
        <v>9928.8389999999999</v>
      </c>
      <c r="I36" s="4" t="s">
        <v>13</v>
      </c>
      <c r="J36" s="4">
        <v>1</v>
      </c>
      <c r="K36">
        <v>0</v>
      </c>
      <c r="L36">
        <v>62797.112999999998</v>
      </c>
      <c r="M36">
        <v>0</v>
      </c>
      <c r="N36">
        <v>0</v>
      </c>
      <c r="Q36" s="4" t="s">
        <v>13</v>
      </c>
      <c r="R36" s="4">
        <v>1</v>
      </c>
      <c r="S36">
        <v>0</v>
      </c>
      <c r="T36">
        <v>26016.684000000001</v>
      </c>
      <c r="U36">
        <v>0</v>
      </c>
      <c r="V36">
        <v>0</v>
      </c>
      <c r="Y36" s="4" t="s">
        <v>13</v>
      </c>
      <c r="Z36" s="4">
        <v>1</v>
      </c>
      <c r="AA36">
        <v>0</v>
      </c>
      <c r="AB36">
        <v>373555.18800000002</v>
      </c>
      <c r="AC36">
        <v>0</v>
      </c>
      <c r="AD36">
        <v>68093.945000000007</v>
      </c>
    </row>
    <row r="37" spans="1:30" x14ac:dyDescent="0.3">
      <c r="A37" s="4"/>
      <c r="B37" s="4">
        <v>2</v>
      </c>
      <c r="C37">
        <v>41843.601999999999</v>
      </c>
      <c r="D37">
        <v>254577.43799999999</v>
      </c>
      <c r="E37">
        <v>29281.335999999999</v>
      </c>
      <c r="F37">
        <v>15357.377</v>
      </c>
      <c r="I37" s="4"/>
      <c r="J37" s="4">
        <v>2</v>
      </c>
      <c r="K37">
        <v>0</v>
      </c>
      <c r="L37">
        <v>47020.199000000001</v>
      </c>
      <c r="M37">
        <v>0</v>
      </c>
      <c r="N37">
        <v>0</v>
      </c>
      <c r="Q37" s="4"/>
      <c r="R37" s="4">
        <v>2</v>
      </c>
      <c r="S37">
        <v>0</v>
      </c>
      <c r="T37">
        <v>33144.370999999999</v>
      </c>
      <c r="U37">
        <v>0</v>
      </c>
      <c r="V37">
        <v>0</v>
      </c>
      <c r="Y37" s="4"/>
      <c r="Z37" s="4">
        <v>2</v>
      </c>
      <c r="AA37">
        <v>0</v>
      </c>
      <c r="AB37">
        <v>417968.65600000002</v>
      </c>
      <c r="AC37">
        <v>0</v>
      </c>
      <c r="AD37">
        <v>104359.20299999999</v>
      </c>
    </row>
    <row r="38" spans="1:30" x14ac:dyDescent="0.3">
      <c r="A38" s="4"/>
      <c r="B38" s="4">
        <v>3</v>
      </c>
      <c r="C38">
        <v>40801.453000000001</v>
      </c>
      <c r="D38">
        <v>290290.65600000002</v>
      </c>
      <c r="E38">
        <v>97224.077000000005</v>
      </c>
      <c r="F38">
        <v>13204.599</v>
      </c>
      <c r="I38" s="4"/>
      <c r="J38" s="4">
        <v>3</v>
      </c>
      <c r="K38">
        <v>0</v>
      </c>
      <c r="L38">
        <v>41530.777000000002</v>
      </c>
      <c r="M38">
        <v>0</v>
      </c>
      <c r="N38">
        <v>0</v>
      </c>
      <c r="Q38" s="4"/>
      <c r="R38" s="4">
        <v>3</v>
      </c>
      <c r="S38">
        <v>0</v>
      </c>
      <c r="T38">
        <v>35616.688000000002</v>
      </c>
      <c r="U38">
        <v>0</v>
      </c>
      <c r="V38">
        <v>0</v>
      </c>
      <c r="Y38" s="4"/>
      <c r="Z38" s="4">
        <v>3</v>
      </c>
      <c r="AA38">
        <v>0</v>
      </c>
      <c r="AB38">
        <v>439187.54100000003</v>
      </c>
      <c r="AC38">
        <v>0</v>
      </c>
      <c r="AD38">
        <v>109076.117</v>
      </c>
    </row>
    <row r="42" spans="1:30" ht="18" x14ac:dyDescent="0.35">
      <c r="A42" s="7" t="s">
        <v>15</v>
      </c>
      <c r="B42" s="8"/>
      <c r="C42" s="10" t="s">
        <v>26</v>
      </c>
      <c r="D42" s="10" t="s">
        <v>8</v>
      </c>
      <c r="E42" s="11" t="s">
        <v>9</v>
      </c>
      <c r="F42" s="11" t="s">
        <v>10</v>
      </c>
      <c r="I42" s="7" t="s">
        <v>15</v>
      </c>
      <c r="J42" s="8"/>
      <c r="K42" s="10" t="s">
        <v>26</v>
      </c>
      <c r="L42" s="10" t="s">
        <v>8</v>
      </c>
      <c r="M42" s="11" t="s">
        <v>9</v>
      </c>
      <c r="N42" s="11" t="s">
        <v>10</v>
      </c>
      <c r="Q42" s="7" t="s">
        <v>15</v>
      </c>
      <c r="R42" s="8"/>
      <c r="S42" s="10" t="s">
        <v>26</v>
      </c>
      <c r="T42" s="10" t="s">
        <v>8</v>
      </c>
      <c r="U42" s="11" t="s">
        <v>9</v>
      </c>
      <c r="V42" s="11" t="s">
        <v>10</v>
      </c>
      <c r="Y42" s="7" t="s">
        <v>15</v>
      </c>
      <c r="Z42" s="8"/>
      <c r="AA42" s="10" t="s">
        <v>26</v>
      </c>
      <c r="AB42" s="10" t="s">
        <v>8</v>
      </c>
      <c r="AC42" s="11" t="s">
        <v>9</v>
      </c>
      <c r="AD42" s="11" t="s">
        <v>10</v>
      </c>
    </row>
    <row r="43" spans="1:30" x14ac:dyDescent="0.3">
      <c r="B43" s="4" t="s">
        <v>16</v>
      </c>
      <c r="C43" t="s">
        <v>17</v>
      </c>
      <c r="D43" t="s">
        <v>17</v>
      </c>
      <c r="E43" t="s">
        <v>17</v>
      </c>
      <c r="F43" t="s">
        <v>17</v>
      </c>
      <c r="J43" s="4" t="s">
        <v>16</v>
      </c>
      <c r="K43" t="s">
        <v>17</v>
      </c>
      <c r="L43" t="s">
        <v>17</v>
      </c>
      <c r="M43" t="s">
        <v>17</v>
      </c>
      <c r="N43" t="s">
        <v>17</v>
      </c>
      <c r="R43" s="4" t="s">
        <v>16</v>
      </c>
      <c r="S43" t="s">
        <v>17</v>
      </c>
      <c r="T43" t="s">
        <v>17</v>
      </c>
      <c r="U43" t="s">
        <v>17</v>
      </c>
      <c r="V43" t="s">
        <v>17</v>
      </c>
      <c r="Z43" s="4" t="s">
        <v>16</v>
      </c>
      <c r="AA43" t="s">
        <v>17</v>
      </c>
      <c r="AB43" t="s">
        <v>17</v>
      </c>
      <c r="AC43" t="s">
        <v>17</v>
      </c>
      <c r="AD43" t="s">
        <v>17</v>
      </c>
    </row>
    <row r="44" spans="1:30" x14ac:dyDescent="0.3">
      <c r="A44" s="4" t="s">
        <v>13</v>
      </c>
      <c r="B44" s="4">
        <v>1</v>
      </c>
      <c r="C44">
        <v>403024.28100000002</v>
      </c>
      <c r="D44">
        <v>1193409.75</v>
      </c>
      <c r="E44">
        <v>217089.79699999999</v>
      </c>
      <c r="F44">
        <v>3509.3009999999999</v>
      </c>
      <c r="I44" s="4" t="s">
        <v>13</v>
      </c>
      <c r="J44" s="4">
        <v>1</v>
      </c>
      <c r="K44">
        <v>0</v>
      </c>
      <c r="L44">
        <v>582527</v>
      </c>
      <c r="M44">
        <v>0</v>
      </c>
      <c r="N44">
        <v>0</v>
      </c>
      <c r="Q44" s="4" t="s">
        <v>13</v>
      </c>
      <c r="R44" s="4">
        <v>1</v>
      </c>
      <c r="S44">
        <v>0</v>
      </c>
      <c r="T44">
        <v>204565.83600000001</v>
      </c>
      <c r="U44">
        <v>0</v>
      </c>
      <c r="V44">
        <v>3581.6010000000001</v>
      </c>
      <c r="Y44" s="4" t="s">
        <v>13</v>
      </c>
      <c r="Z44" s="4">
        <v>1</v>
      </c>
      <c r="AA44">
        <v>18854.133000000002</v>
      </c>
      <c r="AB44">
        <v>989013.875</v>
      </c>
      <c r="AC44">
        <v>0</v>
      </c>
      <c r="AD44">
        <v>62725.531000000003</v>
      </c>
    </row>
    <row r="45" spans="1:30" x14ac:dyDescent="0.3">
      <c r="A45" s="4"/>
      <c r="B45" s="4">
        <v>2</v>
      </c>
      <c r="C45">
        <v>383188.30800000002</v>
      </c>
      <c r="D45">
        <v>1790122.375</v>
      </c>
      <c r="E45">
        <v>108701.008</v>
      </c>
      <c r="F45">
        <v>6216.5240000000003</v>
      </c>
      <c r="I45" s="4"/>
      <c r="J45" s="4">
        <v>2</v>
      </c>
      <c r="K45">
        <v>0</v>
      </c>
      <c r="L45">
        <v>286396.51</v>
      </c>
      <c r="M45">
        <v>0</v>
      </c>
      <c r="N45">
        <v>0</v>
      </c>
      <c r="Q45" s="4"/>
      <c r="R45" s="4">
        <v>2</v>
      </c>
      <c r="S45">
        <v>0</v>
      </c>
      <c r="T45">
        <v>92789.593999999997</v>
      </c>
      <c r="U45">
        <v>0</v>
      </c>
      <c r="V45">
        <v>6539.942</v>
      </c>
      <c r="Y45" s="4"/>
      <c r="Z45" s="4">
        <v>2</v>
      </c>
      <c r="AA45">
        <v>16802.528999999999</v>
      </c>
      <c r="AB45">
        <v>1223776.507</v>
      </c>
      <c r="AC45">
        <v>0</v>
      </c>
      <c r="AD45">
        <v>102946.961</v>
      </c>
    </row>
    <row r="46" spans="1:30" x14ac:dyDescent="0.3">
      <c r="A46" s="4"/>
      <c r="B46" s="4">
        <v>3</v>
      </c>
      <c r="C46">
        <v>360743.36900000001</v>
      </c>
      <c r="D46">
        <v>1657908.875</v>
      </c>
      <c r="E46">
        <v>90321.195000000007</v>
      </c>
      <c r="F46">
        <v>6791.0150000000003</v>
      </c>
      <c r="I46" s="4"/>
      <c r="J46" s="4">
        <v>3</v>
      </c>
      <c r="K46">
        <v>0</v>
      </c>
      <c r="L46">
        <v>208054.07800000001</v>
      </c>
      <c r="M46">
        <v>0</v>
      </c>
      <c r="N46">
        <v>0</v>
      </c>
      <c r="Q46" s="4"/>
      <c r="R46" s="4">
        <v>3</v>
      </c>
      <c r="S46">
        <v>0</v>
      </c>
      <c r="T46">
        <v>104232.234</v>
      </c>
      <c r="U46">
        <v>0</v>
      </c>
      <c r="V46">
        <v>8605.0220000000008</v>
      </c>
      <c r="Y46" s="4"/>
      <c r="Z46" s="4">
        <v>3</v>
      </c>
      <c r="AA46">
        <v>16744.824000000001</v>
      </c>
      <c r="AB46">
        <v>1328250.024</v>
      </c>
      <c r="AC46">
        <v>0</v>
      </c>
      <c r="AD46">
        <v>112471.641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6"/>
  <sheetViews>
    <sheetView topLeftCell="R1" workbookViewId="0">
      <selection activeCell="T23" sqref="T23"/>
    </sheetView>
  </sheetViews>
  <sheetFormatPr defaultRowHeight="14.4" x14ac:dyDescent="0.3"/>
  <cols>
    <col min="2" max="3" width="21.6640625" bestFit="1" customWidth="1"/>
    <col min="4" max="4" width="22.44140625" bestFit="1" customWidth="1"/>
    <col min="5" max="5" width="21.6640625" bestFit="1" customWidth="1"/>
    <col min="6" max="6" width="22.6640625" bestFit="1" customWidth="1"/>
    <col min="10" max="10" width="23.6640625" bestFit="1" customWidth="1"/>
    <col min="11" max="11" width="11.88671875" bestFit="1" customWidth="1"/>
    <col min="12" max="12" width="22.44140625" bestFit="1" customWidth="1"/>
    <col min="13" max="13" width="12.109375" bestFit="1" customWidth="1"/>
    <col min="14" max="14" width="22.6640625" bestFit="1" customWidth="1"/>
    <col min="18" max="18" width="25.109375" bestFit="1" customWidth="1"/>
    <col min="19" max="19" width="11.88671875" bestFit="1" customWidth="1"/>
    <col min="20" max="20" width="22.44140625" bestFit="1" customWidth="1"/>
    <col min="21" max="21" width="12.109375" bestFit="1" customWidth="1"/>
    <col min="22" max="22" width="22.6640625" bestFit="1" customWidth="1"/>
    <col min="26" max="26" width="25.109375" bestFit="1" customWidth="1"/>
    <col min="27" max="27" width="12" bestFit="1" customWidth="1"/>
    <col min="28" max="28" width="22.44140625" bestFit="1" customWidth="1"/>
    <col min="29" max="29" width="12.109375" bestFit="1" customWidth="1"/>
    <col min="30" max="30" width="22.6640625" bestFit="1" customWidth="1"/>
  </cols>
  <sheetData>
    <row r="1" spans="1:30" ht="18" x14ac:dyDescent="0.35">
      <c r="B1" s="1" t="s">
        <v>41</v>
      </c>
      <c r="C1" s="1" t="s">
        <v>43</v>
      </c>
      <c r="J1" s="1" t="s">
        <v>42</v>
      </c>
      <c r="K1" s="1" t="s">
        <v>46</v>
      </c>
      <c r="R1" s="1" t="s">
        <v>44</v>
      </c>
      <c r="S1" s="1" t="s">
        <v>47</v>
      </c>
      <c r="Z1" s="1" t="s">
        <v>45</v>
      </c>
      <c r="AA1" s="1" t="s">
        <v>48</v>
      </c>
    </row>
    <row r="2" spans="1:30" ht="18" x14ac:dyDescent="0.35">
      <c r="A2" s="1" t="s">
        <v>0</v>
      </c>
      <c r="C2" s="6" t="s">
        <v>26</v>
      </c>
      <c r="D2" s="6" t="s">
        <v>8</v>
      </c>
      <c r="E2" s="5" t="s">
        <v>9</v>
      </c>
      <c r="F2" s="5" t="s">
        <v>10</v>
      </c>
      <c r="I2" s="1" t="s">
        <v>0</v>
      </c>
      <c r="K2" s="6" t="s">
        <v>26</v>
      </c>
      <c r="L2" s="6" t="s">
        <v>8</v>
      </c>
      <c r="M2" s="5" t="s">
        <v>9</v>
      </c>
      <c r="N2" s="5" t="s">
        <v>10</v>
      </c>
      <c r="Q2" s="1" t="s">
        <v>0</v>
      </c>
      <c r="S2" s="6" t="s">
        <v>26</v>
      </c>
      <c r="T2" s="6" t="s">
        <v>8</v>
      </c>
      <c r="U2" s="5" t="s">
        <v>9</v>
      </c>
      <c r="V2" s="5" t="s">
        <v>10</v>
      </c>
      <c r="Y2" s="1" t="s">
        <v>0</v>
      </c>
      <c r="AA2" s="6" t="s">
        <v>26</v>
      </c>
      <c r="AB2" s="6" t="s">
        <v>8</v>
      </c>
      <c r="AC2" s="5" t="s">
        <v>9</v>
      </c>
      <c r="AD2" s="5" t="s">
        <v>10</v>
      </c>
    </row>
    <row r="3" spans="1:30" x14ac:dyDescent="0.3">
      <c r="B3" s="4" t="s">
        <v>11</v>
      </c>
      <c r="C3" t="s">
        <v>12</v>
      </c>
      <c r="D3" t="s">
        <v>12</v>
      </c>
      <c r="E3" t="s">
        <v>12</v>
      </c>
      <c r="F3" t="s">
        <v>12</v>
      </c>
      <c r="J3" s="4" t="s">
        <v>11</v>
      </c>
      <c r="K3" t="s">
        <v>12</v>
      </c>
      <c r="L3" t="s">
        <v>12</v>
      </c>
      <c r="M3" t="s">
        <v>12</v>
      </c>
      <c r="N3" t="s">
        <v>12</v>
      </c>
      <c r="R3" s="4" t="s">
        <v>11</v>
      </c>
      <c r="S3" t="s">
        <v>12</v>
      </c>
      <c r="T3" t="s">
        <v>12</v>
      </c>
      <c r="U3" t="s">
        <v>12</v>
      </c>
      <c r="V3" t="s">
        <v>12</v>
      </c>
      <c r="Z3" s="4" t="s">
        <v>11</v>
      </c>
      <c r="AA3" t="s">
        <v>12</v>
      </c>
      <c r="AB3" t="s">
        <v>12</v>
      </c>
      <c r="AC3" t="s">
        <v>12</v>
      </c>
      <c r="AD3" t="s">
        <v>12</v>
      </c>
    </row>
    <row r="4" spans="1:30" x14ac:dyDescent="0.3">
      <c r="A4" s="4" t="s">
        <v>13</v>
      </c>
      <c r="B4" s="4">
        <v>1</v>
      </c>
      <c r="C4">
        <v>0</v>
      </c>
      <c r="D4">
        <v>0</v>
      </c>
      <c r="E4">
        <v>0</v>
      </c>
      <c r="F4">
        <v>0</v>
      </c>
      <c r="I4" s="4" t="s">
        <v>13</v>
      </c>
      <c r="J4" s="4">
        <v>1</v>
      </c>
      <c r="K4">
        <v>0</v>
      </c>
      <c r="L4">
        <v>0</v>
      </c>
      <c r="M4">
        <v>0</v>
      </c>
      <c r="N4">
        <v>0</v>
      </c>
      <c r="Q4" s="4" t="s">
        <v>13</v>
      </c>
      <c r="R4" s="4">
        <v>1</v>
      </c>
      <c r="S4">
        <v>0</v>
      </c>
      <c r="T4">
        <v>0</v>
      </c>
      <c r="U4">
        <v>0</v>
      </c>
      <c r="V4">
        <v>0</v>
      </c>
      <c r="Y4" s="4" t="s">
        <v>13</v>
      </c>
      <c r="Z4" s="4">
        <v>1</v>
      </c>
      <c r="AA4">
        <v>0</v>
      </c>
      <c r="AB4">
        <v>0</v>
      </c>
      <c r="AC4">
        <v>0</v>
      </c>
      <c r="AD4">
        <v>0</v>
      </c>
    </row>
    <row r="5" spans="1:30" x14ac:dyDescent="0.3">
      <c r="A5" s="4"/>
      <c r="B5" s="4">
        <v>2</v>
      </c>
      <c r="C5">
        <v>0</v>
      </c>
      <c r="D5">
        <v>0</v>
      </c>
      <c r="E5">
        <v>0</v>
      </c>
      <c r="F5">
        <v>0</v>
      </c>
      <c r="I5" s="4"/>
      <c r="J5" s="4">
        <v>2</v>
      </c>
      <c r="K5">
        <v>0</v>
      </c>
      <c r="L5">
        <v>0</v>
      </c>
      <c r="M5">
        <v>0</v>
      </c>
      <c r="N5">
        <v>0</v>
      </c>
      <c r="Q5" s="4"/>
      <c r="R5" s="4">
        <v>2</v>
      </c>
      <c r="S5">
        <v>0</v>
      </c>
      <c r="T5">
        <v>0</v>
      </c>
      <c r="U5">
        <v>0</v>
      </c>
      <c r="V5">
        <v>0</v>
      </c>
      <c r="Y5" s="4"/>
      <c r="Z5" s="4">
        <v>2</v>
      </c>
      <c r="AA5">
        <v>0</v>
      </c>
      <c r="AB5">
        <v>0</v>
      </c>
      <c r="AC5">
        <v>0</v>
      </c>
      <c r="AD5">
        <v>0</v>
      </c>
    </row>
    <row r="6" spans="1:30" x14ac:dyDescent="0.3">
      <c r="A6" s="4"/>
      <c r="B6" s="4">
        <v>3</v>
      </c>
      <c r="C6">
        <v>0</v>
      </c>
      <c r="D6">
        <v>0</v>
      </c>
      <c r="E6">
        <v>0</v>
      </c>
      <c r="F6">
        <v>0</v>
      </c>
      <c r="I6" s="4"/>
      <c r="J6" s="4">
        <v>3</v>
      </c>
      <c r="K6">
        <v>0</v>
      </c>
      <c r="L6">
        <v>0</v>
      </c>
      <c r="M6">
        <v>0</v>
      </c>
      <c r="N6">
        <v>0</v>
      </c>
      <c r="Q6" s="4"/>
      <c r="R6" s="4">
        <v>3</v>
      </c>
      <c r="S6">
        <v>0</v>
      </c>
      <c r="T6">
        <v>0</v>
      </c>
      <c r="U6">
        <v>0</v>
      </c>
      <c r="V6">
        <v>0</v>
      </c>
      <c r="Y6" s="4"/>
      <c r="Z6" s="4">
        <v>3</v>
      </c>
      <c r="AA6">
        <v>0</v>
      </c>
      <c r="AB6">
        <v>0</v>
      </c>
      <c r="AC6">
        <v>0</v>
      </c>
      <c r="AD6">
        <v>0</v>
      </c>
    </row>
    <row r="10" spans="1:30" ht="18" x14ac:dyDescent="0.35">
      <c r="A10" s="1" t="s">
        <v>14</v>
      </c>
      <c r="C10" s="6" t="s">
        <v>26</v>
      </c>
      <c r="D10" s="6" t="s">
        <v>8</v>
      </c>
      <c r="E10" s="5" t="s">
        <v>9</v>
      </c>
      <c r="F10" s="5" t="s">
        <v>10</v>
      </c>
      <c r="I10" s="1" t="s">
        <v>14</v>
      </c>
      <c r="K10" s="6" t="s">
        <v>26</v>
      </c>
      <c r="L10" s="6" t="s">
        <v>8</v>
      </c>
      <c r="M10" s="5" t="s">
        <v>9</v>
      </c>
      <c r="N10" s="5" t="s">
        <v>10</v>
      </c>
      <c r="Q10" s="1" t="s">
        <v>14</v>
      </c>
      <c r="S10" s="6" t="s">
        <v>26</v>
      </c>
      <c r="T10" s="6" t="s">
        <v>8</v>
      </c>
      <c r="U10" s="5" t="s">
        <v>9</v>
      </c>
      <c r="V10" s="5" t="s">
        <v>10</v>
      </c>
      <c r="Y10" s="1" t="s">
        <v>14</v>
      </c>
      <c r="AA10" s="6" t="s">
        <v>26</v>
      </c>
      <c r="AB10" s="6" t="s">
        <v>8</v>
      </c>
      <c r="AC10" s="5" t="s">
        <v>9</v>
      </c>
      <c r="AD10" s="5" t="s">
        <v>10</v>
      </c>
    </row>
    <row r="11" spans="1:30" x14ac:dyDescent="0.3">
      <c r="B11" s="4" t="s">
        <v>11</v>
      </c>
      <c r="C11" t="s">
        <v>12</v>
      </c>
      <c r="D11" t="s">
        <v>12</v>
      </c>
      <c r="E11" t="s">
        <v>12</v>
      </c>
      <c r="F11" t="s">
        <v>12</v>
      </c>
      <c r="J11" s="4" t="s">
        <v>11</v>
      </c>
      <c r="K11" t="s">
        <v>12</v>
      </c>
      <c r="L11" t="s">
        <v>12</v>
      </c>
      <c r="M11" t="s">
        <v>12</v>
      </c>
      <c r="N11" t="s">
        <v>12</v>
      </c>
      <c r="R11" s="4" t="s">
        <v>11</v>
      </c>
      <c r="S11" t="s">
        <v>12</v>
      </c>
      <c r="T11" t="s">
        <v>12</v>
      </c>
      <c r="U11" t="s">
        <v>12</v>
      </c>
      <c r="V11" t="s">
        <v>12</v>
      </c>
      <c r="Z11" s="4" t="s">
        <v>11</v>
      </c>
      <c r="AA11" t="s">
        <v>12</v>
      </c>
      <c r="AB11" t="s">
        <v>12</v>
      </c>
      <c r="AC11" t="s">
        <v>12</v>
      </c>
      <c r="AD11" t="s">
        <v>12</v>
      </c>
    </row>
    <row r="12" spans="1:30" x14ac:dyDescent="0.3">
      <c r="A12" s="4" t="s">
        <v>13</v>
      </c>
      <c r="B12" s="4">
        <v>1</v>
      </c>
      <c r="C12" s="12">
        <v>5671.7896000000001</v>
      </c>
      <c r="D12" s="12">
        <v>14516.347299999999</v>
      </c>
      <c r="E12" s="12">
        <v>6744.6929</v>
      </c>
      <c r="F12" s="12">
        <v>1931.2662</v>
      </c>
      <c r="I12" s="4" t="s">
        <v>13</v>
      </c>
      <c r="J12" s="4">
        <v>1</v>
      </c>
      <c r="K12" s="12">
        <v>0</v>
      </c>
      <c r="L12" s="12">
        <v>3139.6568000000002</v>
      </c>
      <c r="M12" s="12">
        <v>0</v>
      </c>
      <c r="N12" s="12">
        <v>0</v>
      </c>
      <c r="Q12" s="4" t="s">
        <v>13</v>
      </c>
      <c r="R12" s="4">
        <v>1</v>
      </c>
      <c r="S12">
        <v>0</v>
      </c>
      <c r="T12">
        <v>0</v>
      </c>
      <c r="U12">
        <v>0</v>
      </c>
      <c r="V12">
        <v>0</v>
      </c>
      <c r="Y12" s="4" t="s">
        <v>13</v>
      </c>
      <c r="Z12" s="4">
        <v>1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 s="4"/>
      <c r="B13" s="4">
        <v>2</v>
      </c>
      <c r="C13" s="12">
        <v>5088.1814999999997</v>
      </c>
      <c r="D13" s="12">
        <v>14689.501</v>
      </c>
      <c r="E13" s="12">
        <v>3934.9868999999999</v>
      </c>
      <c r="F13" s="12">
        <v>3209.0228000000002</v>
      </c>
      <c r="I13" s="4"/>
      <c r="J13" s="4">
        <v>2</v>
      </c>
      <c r="K13" s="12">
        <v>0</v>
      </c>
      <c r="L13" s="12">
        <v>1907.2846999999999</v>
      </c>
      <c r="M13" s="12">
        <v>0</v>
      </c>
      <c r="N13" s="12">
        <v>0</v>
      </c>
      <c r="Q13" s="4"/>
      <c r="R13" s="4">
        <v>2</v>
      </c>
      <c r="S13">
        <v>0</v>
      </c>
      <c r="T13">
        <v>0</v>
      </c>
      <c r="U13">
        <v>0</v>
      </c>
      <c r="V13">
        <v>0</v>
      </c>
      <c r="Y13" s="4"/>
      <c r="Z13" s="4">
        <v>2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 s="4"/>
      <c r="B14" s="4">
        <v>3</v>
      </c>
      <c r="C14" s="12">
        <v>5176.1102000000001</v>
      </c>
      <c r="D14" s="12">
        <v>16259.301600000001</v>
      </c>
      <c r="E14" s="12">
        <v>13566.7327</v>
      </c>
      <c r="F14" s="12">
        <v>3198.8353000000002</v>
      </c>
      <c r="I14" s="4"/>
      <c r="J14" s="4">
        <v>3</v>
      </c>
      <c r="K14" s="12">
        <v>0</v>
      </c>
      <c r="L14" s="12">
        <v>2357.6538</v>
      </c>
      <c r="M14" s="12">
        <v>0</v>
      </c>
      <c r="N14" s="12">
        <v>0</v>
      </c>
      <c r="Q14" s="4"/>
      <c r="R14" s="4">
        <v>3</v>
      </c>
      <c r="S14">
        <v>0</v>
      </c>
      <c r="T14">
        <v>0</v>
      </c>
      <c r="U14">
        <v>0</v>
      </c>
      <c r="V14">
        <v>0</v>
      </c>
      <c r="Y14" s="4"/>
      <c r="Z14" s="4">
        <v>3</v>
      </c>
      <c r="AA14">
        <v>0</v>
      </c>
      <c r="AB14">
        <v>0</v>
      </c>
      <c r="AC14">
        <v>0</v>
      </c>
      <c r="AD14">
        <v>0</v>
      </c>
    </row>
    <row r="15" spans="1:30" x14ac:dyDescent="0.3">
      <c r="B15" t="s">
        <v>59</v>
      </c>
      <c r="C15" s="12">
        <f>AVERAGE(C12:C14)</f>
        <v>5312.0270999999993</v>
      </c>
      <c r="D15" s="12">
        <f t="shared" ref="D15:F15" si="0">AVERAGE(D12:D14)</f>
        <v>15155.049966666666</v>
      </c>
      <c r="E15" s="12">
        <f t="shared" si="0"/>
        <v>8082.1374999999998</v>
      </c>
      <c r="F15" s="12">
        <f t="shared" si="0"/>
        <v>2779.7081000000003</v>
      </c>
      <c r="J15" t="s">
        <v>59</v>
      </c>
      <c r="K15" s="12">
        <f>AVERAGE(K12:K14)</f>
        <v>0</v>
      </c>
      <c r="L15" s="12">
        <f t="shared" ref="L15:N15" si="1">AVERAGE(L12:L14)</f>
        <v>2468.1984333333335</v>
      </c>
      <c r="M15" s="12">
        <f t="shared" si="1"/>
        <v>0</v>
      </c>
      <c r="N15" s="12">
        <f t="shared" si="1"/>
        <v>0</v>
      </c>
    </row>
    <row r="16" spans="1:30" x14ac:dyDescent="0.3">
      <c r="K16" s="12"/>
      <c r="L16" s="12"/>
      <c r="M16" s="12"/>
      <c r="N16" s="12"/>
    </row>
    <row r="17" spans="1:30" x14ac:dyDescent="0.3">
      <c r="K17" s="12"/>
      <c r="L17" s="12"/>
      <c r="M17" s="12"/>
      <c r="N17" s="12"/>
    </row>
    <row r="18" spans="1:30" ht="18" x14ac:dyDescent="0.35">
      <c r="A18" s="1" t="s">
        <v>15</v>
      </c>
      <c r="C18" s="6" t="s">
        <v>26</v>
      </c>
      <c r="D18" s="6" t="s">
        <v>8</v>
      </c>
      <c r="E18" s="5" t="s">
        <v>9</v>
      </c>
      <c r="F18" s="5" t="s">
        <v>10</v>
      </c>
      <c r="I18" s="1" t="s">
        <v>15</v>
      </c>
      <c r="K18" s="19" t="s">
        <v>26</v>
      </c>
      <c r="L18" s="19" t="s">
        <v>8</v>
      </c>
      <c r="M18" s="20" t="s">
        <v>9</v>
      </c>
      <c r="N18" s="20" t="s">
        <v>10</v>
      </c>
      <c r="Q18" s="1" t="s">
        <v>15</v>
      </c>
      <c r="S18" s="6" t="s">
        <v>26</v>
      </c>
      <c r="T18" s="6" t="s">
        <v>8</v>
      </c>
      <c r="U18" s="5" t="s">
        <v>9</v>
      </c>
      <c r="V18" s="5" t="s">
        <v>10</v>
      </c>
      <c r="Y18" s="1" t="s">
        <v>15</v>
      </c>
      <c r="AA18" s="6" t="s">
        <v>26</v>
      </c>
      <c r="AB18" s="6" t="s">
        <v>8</v>
      </c>
      <c r="AC18" s="5" t="s">
        <v>9</v>
      </c>
      <c r="AD18" s="5" t="s">
        <v>10</v>
      </c>
    </row>
    <row r="19" spans="1:30" x14ac:dyDescent="0.3">
      <c r="B19" s="4" t="s">
        <v>11</v>
      </c>
      <c r="C19" t="s">
        <v>12</v>
      </c>
      <c r="D19" t="s">
        <v>12</v>
      </c>
      <c r="E19" t="s">
        <v>12</v>
      </c>
      <c r="F19" t="s">
        <v>12</v>
      </c>
      <c r="J19" s="4" t="s">
        <v>11</v>
      </c>
      <c r="K19" s="12" t="s">
        <v>12</v>
      </c>
      <c r="L19" s="12" t="s">
        <v>12</v>
      </c>
      <c r="M19" s="12" t="s">
        <v>12</v>
      </c>
      <c r="N19" s="12" t="s">
        <v>12</v>
      </c>
      <c r="R19" s="4" t="s">
        <v>11</v>
      </c>
      <c r="S19" t="s">
        <v>12</v>
      </c>
      <c r="T19" t="s">
        <v>12</v>
      </c>
      <c r="U19" t="s">
        <v>12</v>
      </c>
      <c r="V19" t="s">
        <v>12</v>
      </c>
      <c r="Z19" s="4" t="s">
        <v>11</v>
      </c>
      <c r="AA19" t="s">
        <v>12</v>
      </c>
      <c r="AB19" t="s">
        <v>12</v>
      </c>
      <c r="AC19" t="s">
        <v>12</v>
      </c>
      <c r="AD19" t="s">
        <v>12</v>
      </c>
    </row>
    <row r="20" spans="1:30" x14ac:dyDescent="0.3">
      <c r="A20" s="4" t="s">
        <v>13</v>
      </c>
      <c r="B20" s="4">
        <v>1</v>
      </c>
      <c r="C20" s="12">
        <v>28954.012699999999</v>
      </c>
      <c r="D20" s="12">
        <v>85262.806299999997</v>
      </c>
      <c r="E20" s="12">
        <v>17834.0749</v>
      </c>
      <c r="F20" s="12">
        <v>1502.0676000000001</v>
      </c>
      <c r="I20" s="4" t="s">
        <v>13</v>
      </c>
      <c r="J20" s="4">
        <v>1</v>
      </c>
      <c r="K20" s="12">
        <v>0</v>
      </c>
      <c r="L20" s="12">
        <v>43406.801200000002</v>
      </c>
      <c r="M20" s="12">
        <v>0</v>
      </c>
      <c r="N20" s="12">
        <v>0</v>
      </c>
      <c r="Q20" s="4" t="s">
        <v>13</v>
      </c>
      <c r="R20" s="4">
        <v>1</v>
      </c>
      <c r="S20" s="12">
        <v>0</v>
      </c>
      <c r="T20" s="12">
        <v>13332.9444</v>
      </c>
      <c r="U20" s="12">
        <v>0</v>
      </c>
      <c r="V20" s="12">
        <v>0</v>
      </c>
      <c r="Y20" s="4" t="s">
        <v>13</v>
      </c>
      <c r="Z20" s="4">
        <v>1</v>
      </c>
      <c r="AA20">
        <v>0</v>
      </c>
      <c r="AB20">
        <v>0</v>
      </c>
      <c r="AC20">
        <v>0</v>
      </c>
      <c r="AD20">
        <v>0</v>
      </c>
    </row>
    <row r="21" spans="1:30" x14ac:dyDescent="0.3">
      <c r="A21" s="4"/>
      <c r="B21" s="4">
        <v>2</v>
      </c>
      <c r="C21" s="12">
        <v>25396.412100000001</v>
      </c>
      <c r="D21" s="12">
        <v>99075.000499999995</v>
      </c>
      <c r="E21" s="12">
        <v>9505.0342999999993</v>
      </c>
      <c r="F21" s="12">
        <v>2330.9721</v>
      </c>
      <c r="I21" s="4"/>
      <c r="J21" s="4">
        <v>2</v>
      </c>
      <c r="K21" s="12"/>
      <c r="L21" s="12">
        <v>16866.097300000001</v>
      </c>
      <c r="M21" s="12">
        <v>0</v>
      </c>
      <c r="N21" s="12">
        <v>0</v>
      </c>
      <c r="Q21" s="4"/>
      <c r="R21" s="4">
        <v>2</v>
      </c>
      <c r="S21" s="12">
        <v>0</v>
      </c>
      <c r="T21" s="12">
        <v>12639.7917</v>
      </c>
      <c r="U21" s="12">
        <v>0</v>
      </c>
      <c r="V21" s="12">
        <v>0</v>
      </c>
      <c r="Y21" s="4"/>
      <c r="Z21" s="4">
        <v>2</v>
      </c>
      <c r="AA21">
        <v>0</v>
      </c>
      <c r="AB21">
        <v>0</v>
      </c>
      <c r="AC21">
        <v>0</v>
      </c>
      <c r="AD21">
        <v>0</v>
      </c>
    </row>
    <row r="22" spans="1:30" x14ac:dyDescent="0.3">
      <c r="A22" s="4"/>
      <c r="B22" s="4">
        <v>3</v>
      </c>
      <c r="C22" s="12">
        <v>24258.52</v>
      </c>
      <c r="D22" s="12">
        <v>96835.269100000005</v>
      </c>
      <c r="E22" s="12">
        <v>8293.1134999999995</v>
      </c>
      <c r="F22" s="12">
        <v>2421.6817999999998</v>
      </c>
      <c r="I22" s="4"/>
      <c r="J22" s="4">
        <v>3</v>
      </c>
      <c r="K22" s="12">
        <v>0</v>
      </c>
      <c r="L22" s="12">
        <v>12489.4802</v>
      </c>
      <c r="M22" s="12">
        <v>0</v>
      </c>
      <c r="N22" s="12">
        <v>0</v>
      </c>
      <c r="Q22" s="4"/>
      <c r="R22" s="4">
        <v>3</v>
      </c>
      <c r="S22" s="12">
        <v>0</v>
      </c>
      <c r="T22" s="12">
        <v>11798.126899999999</v>
      </c>
      <c r="U22" s="12">
        <v>0</v>
      </c>
      <c r="V22" s="12">
        <v>0</v>
      </c>
      <c r="Y22" s="4"/>
      <c r="Z22" s="4">
        <v>3</v>
      </c>
      <c r="AA22">
        <v>0</v>
      </c>
      <c r="AB22">
        <v>0</v>
      </c>
      <c r="AC22">
        <v>0</v>
      </c>
      <c r="AD22">
        <v>0</v>
      </c>
    </row>
    <row r="23" spans="1:30" x14ac:dyDescent="0.3">
      <c r="B23" t="s">
        <v>59</v>
      </c>
      <c r="C23" s="12">
        <f>AVERAGE(C20:C22)</f>
        <v>26202.981599999999</v>
      </c>
      <c r="D23" s="12">
        <f t="shared" ref="D23:F23" si="2">AVERAGE(D20:D22)</f>
        <v>93724.358633333337</v>
      </c>
      <c r="E23" s="12">
        <f t="shared" si="2"/>
        <v>11877.407566666667</v>
      </c>
      <c r="F23" s="12">
        <f t="shared" si="2"/>
        <v>2084.9071666666664</v>
      </c>
      <c r="J23" t="s">
        <v>59</v>
      </c>
      <c r="K23" s="12">
        <f>AVERAGE(K20:K22)</f>
        <v>0</v>
      </c>
      <c r="L23" s="12">
        <f t="shared" ref="L23:N23" si="3">AVERAGE(L20:L22)</f>
        <v>24254.126233333332</v>
      </c>
      <c r="M23" s="12">
        <f t="shared" si="3"/>
        <v>0</v>
      </c>
      <c r="N23" s="12">
        <f t="shared" si="3"/>
        <v>0</v>
      </c>
      <c r="R23" t="s">
        <v>59</v>
      </c>
      <c r="S23" s="12">
        <f>AVERAGE(S20:S22)</f>
        <v>0</v>
      </c>
      <c r="T23" s="12">
        <f t="shared" ref="T23:V23" si="4">AVERAGE(T20:T22)</f>
        <v>12590.287666666665</v>
      </c>
      <c r="U23" s="12">
        <f t="shared" si="4"/>
        <v>0</v>
      </c>
      <c r="V23" s="12">
        <f t="shared" si="4"/>
        <v>0</v>
      </c>
    </row>
    <row r="26" spans="1:30" ht="18" x14ac:dyDescent="0.35">
      <c r="A26" s="7" t="s">
        <v>0</v>
      </c>
      <c r="B26" s="8"/>
      <c r="C26" s="10" t="s">
        <v>26</v>
      </c>
      <c r="D26" s="10" t="s">
        <v>8</v>
      </c>
      <c r="E26" s="11" t="s">
        <v>9</v>
      </c>
      <c r="F26" s="11" t="s">
        <v>10</v>
      </c>
      <c r="I26" s="7" t="s">
        <v>0</v>
      </c>
      <c r="J26" s="8"/>
      <c r="K26" s="10" t="s">
        <v>26</v>
      </c>
      <c r="L26" s="10" t="s">
        <v>8</v>
      </c>
      <c r="M26" s="11" t="s">
        <v>9</v>
      </c>
      <c r="N26" s="11" t="s">
        <v>10</v>
      </c>
      <c r="Q26" s="7" t="s">
        <v>0</v>
      </c>
      <c r="R26" s="8"/>
      <c r="S26" s="10" t="s">
        <v>26</v>
      </c>
      <c r="T26" s="10" t="s">
        <v>8</v>
      </c>
      <c r="U26" s="11" t="s">
        <v>9</v>
      </c>
      <c r="V26" s="11" t="s">
        <v>10</v>
      </c>
      <c r="Y26" s="7" t="s">
        <v>0</v>
      </c>
      <c r="Z26" s="8"/>
      <c r="AA26" s="10" t="s">
        <v>26</v>
      </c>
      <c r="AB26" s="10" t="s">
        <v>8</v>
      </c>
      <c r="AC26" s="11" t="s">
        <v>9</v>
      </c>
      <c r="AD26" s="11" t="s">
        <v>10</v>
      </c>
    </row>
    <row r="27" spans="1:30" x14ac:dyDescent="0.3">
      <c r="B27" s="4" t="s">
        <v>16</v>
      </c>
      <c r="C27" t="s">
        <v>17</v>
      </c>
      <c r="D27" t="s">
        <v>17</v>
      </c>
      <c r="E27" t="s">
        <v>17</v>
      </c>
      <c r="F27" t="s">
        <v>17</v>
      </c>
      <c r="J27" s="4" t="s">
        <v>16</v>
      </c>
      <c r="K27" t="s">
        <v>17</v>
      </c>
      <c r="L27" t="s">
        <v>17</v>
      </c>
      <c r="M27" t="s">
        <v>17</v>
      </c>
      <c r="N27" t="s">
        <v>17</v>
      </c>
      <c r="R27" s="4" t="s">
        <v>16</v>
      </c>
      <c r="S27" t="s">
        <v>17</v>
      </c>
      <c r="T27" t="s">
        <v>17</v>
      </c>
      <c r="U27" t="s">
        <v>17</v>
      </c>
      <c r="V27" t="s">
        <v>17</v>
      </c>
      <c r="Z27" s="4" t="s">
        <v>16</v>
      </c>
      <c r="AA27" t="s">
        <v>17</v>
      </c>
      <c r="AB27" t="s">
        <v>17</v>
      </c>
      <c r="AC27" t="s">
        <v>17</v>
      </c>
      <c r="AD27" t="s">
        <v>17</v>
      </c>
    </row>
    <row r="28" spans="1:30" x14ac:dyDescent="0.3">
      <c r="A28" s="4" t="s">
        <v>13</v>
      </c>
      <c r="B28" s="4">
        <v>1</v>
      </c>
      <c r="C28">
        <v>0</v>
      </c>
      <c r="D28">
        <v>0</v>
      </c>
      <c r="E28">
        <v>0</v>
      </c>
      <c r="F28">
        <v>0</v>
      </c>
      <c r="I28" s="4" t="s">
        <v>13</v>
      </c>
      <c r="J28" s="4">
        <v>1</v>
      </c>
      <c r="K28">
        <v>0</v>
      </c>
      <c r="L28">
        <v>0</v>
      </c>
      <c r="M28">
        <v>0</v>
      </c>
      <c r="N28">
        <v>0</v>
      </c>
      <c r="Q28" s="4" t="s">
        <v>13</v>
      </c>
      <c r="R28" s="4">
        <v>1</v>
      </c>
      <c r="S28">
        <v>0</v>
      </c>
      <c r="T28">
        <v>0</v>
      </c>
      <c r="U28">
        <v>0</v>
      </c>
      <c r="V28">
        <v>0</v>
      </c>
      <c r="Y28" s="4" t="s">
        <v>13</v>
      </c>
      <c r="Z28" s="4">
        <v>1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 s="4"/>
      <c r="B29" s="4">
        <v>2</v>
      </c>
      <c r="C29">
        <v>0</v>
      </c>
      <c r="D29">
        <v>0</v>
      </c>
      <c r="E29">
        <v>0</v>
      </c>
      <c r="F29">
        <v>0</v>
      </c>
      <c r="I29" s="4"/>
      <c r="J29" s="4">
        <v>2</v>
      </c>
      <c r="K29">
        <v>0</v>
      </c>
      <c r="L29">
        <v>0</v>
      </c>
      <c r="M29">
        <v>0</v>
      </c>
      <c r="N29">
        <v>0</v>
      </c>
      <c r="Q29" s="4"/>
      <c r="R29" s="4">
        <v>2</v>
      </c>
      <c r="S29">
        <v>0</v>
      </c>
      <c r="T29">
        <v>0</v>
      </c>
      <c r="U29">
        <v>0</v>
      </c>
      <c r="V29">
        <v>0</v>
      </c>
      <c r="Y29" s="4"/>
      <c r="Z29" s="4">
        <v>2</v>
      </c>
      <c r="AA29">
        <v>0</v>
      </c>
      <c r="AB29">
        <v>0</v>
      </c>
      <c r="AC29">
        <v>0</v>
      </c>
      <c r="AD29">
        <v>0</v>
      </c>
    </row>
    <row r="30" spans="1:30" x14ac:dyDescent="0.3">
      <c r="A30" s="4"/>
      <c r="B30" s="4">
        <v>3</v>
      </c>
      <c r="C30">
        <v>0</v>
      </c>
      <c r="D30">
        <v>0</v>
      </c>
      <c r="E30">
        <v>0</v>
      </c>
      <c r="F30">
        <v>0</v>
      </c>
      <c r="I30" s="4"/>
      <c r="J30" s="4">
        <v>3</v>
      </c>
      <c r="K30">
        <v>0</v>
      </c>
      <c r="L30">
        <v>0</v>
      </c>
      <c r="M30">
        <v>0</v>
      </c>
      <c r="N30">
        <v>0</v>
      </c>
      <c r="Q30" s="4"/>
      <c r="R30" s="4">
        <v>3</v>
      </c>
      <c r="S30">
        <v>0</v>
      </c>
      <c r="T30">
        <v>0</v>
      </c>
      <c r="U30">
        <v>0</v>
      </c>
      <c r="V30">
        <v>0</v>
      </c>
      <c r="Y30" s="4"/>
      <c r="Z30" s="4">
        <v>3</v>
      </c>
      <c r="AA30">
        <v>0</v>
      </c>
      <c r="AB30">
        <v>0</v>
      </c>
      <c r="AC30">
        <v>0</v>
      </c>
      <c r="AD30">
        <v>0</v>
      </c>
    </row>
    <row r="34" spans="1:30" ht="18" x14ac:dyDescent="0.35">
      <c r="A34" s="7" t="s">
        <v>14</v>
      </c>
      <c r="B34" s="8"/>
      <c r="C34" s="10" t="s">
        <v>26</v>
      </c>
      <c r="D34" s="10" t="s">
        <v>8</v>
      </c>
      <c r="E34" s="11" t="s">
        <v>9</v>
      </c>
      <c r="F34" s="11" t="s">
        <v>10</v>
      </c>
      <c r="I34" s="7" t="s">
        <v>14</v>
      </c>
      <c r="J34" s="8"/>
      <c r="K34" s="10" t="s">
        <v>26</v>
      </c>
      <c r="L34" s="10" t="s">
        <v>8</v>
      </c>
      <c r="M34" s="11" t="s">
        <v>9</v>
      </c>
      <c r="N34" s="11" t="s">
        <v>10</v>
      </c>
      <c r="Q34" s="7" t="s">
        <v>14</v>
      </c>
      <c r="R34" s="8"/>
      <c r="S34" s="10" t="s">
        <v>26</v>
      </c>
      <c r="T34" s="10" t="s">
        <v>8</v>
      </c>
      <c r="U34" s="11" t="s">
        <v>9</v>
      </c>
      <c r="V34" s="11" t="s">
        <v>10</v>
      </c>
      <c r="Y34" s="7" t="s">
        <v>14</v>
      </c>
      <c r="Z34" s="8"/>
      <c r="AA34" s="10" t="s">
        <v>26</v>
      </c>
      <c r="AB34" s="10" t="s">
        <v>8</v>
      </c>
      <c r="AC34" s="11" t="s">
        <v>9</v>
      </c>
      <c r="AD34" s="11" t="s">
        <v>10</v>
      </c>
    </row>
    <row r="35" spans="1:30" x14ac:dyDescent="0.3">
      <c r="B35" s="4" t="s">
        <v>16</v>
      </c>
      <c r="C35" t="s">
        <v>17</v>
      </c>
      <c r="D35" t="s">
        <v>17</v>
      </c>
      <c r="E35" t="s">
        <v>17</v>
      </c>
      <c r="F35" t="s">
        <v>17</v>
      </c>
      <c r="J35" s="4" t="s">
        <v>16</v>
      </c>
      <c r="K35" t="s">
        <v>17</v>
      </c>
      <c r="L35" t="s">
        <v>17</v>
      </c>
      <c r="M35" t="s">
        <v>17</v>
      </c>
      <c r="N35" t="s">
        <v>17</v>
      </c>
      <c r="R35" s="4" t="s">
        <v>16</v>
      </c>
      <c r="S35" t="s">
        <v>17</v>
      </c>
      <c r="T35" t="s">
        <v>17</v>
      </c>
      <c r="U35" t="s">
        <v>17</v>
      </c>
      <c r="V35" t="s">
        <v>17</v>
      </c>
      <c r="Z35" s="4" t="s">
        <v>16</v>
      </c>
      <c r="AA35" t="s">
        <v>17</v>
      </c>
      <c r="AB35" t="s">
        <v>17</v>
      </c>
      <c r="AC35" t="s">
        <v>17</v>
      </c>
      <c r="AD35" t="s">
        <v>17</v>
      </c>
    </row>
    <row r="36" spans="1:30" x14ac:dyDescent="0.3">
      <c r="A36" s="4" t="s">
        <v>13</v>
      </c>
      <c r="B36" s="4">
        <v>1</v>
      </c>
      <c r="C36">
        <v>78001.25</v>
      </c>
      <c r="D36">
        <v>202833.875</v>
      </c>
      <c r="E36">
        <v>93595.351999999999</v>
      </c>
      <c r="F36">
        <v>27646.006000000001</v>
      </c>
      <c r="I36" s="4" t="s">
        <v>13</v>
      </c>
      <c r="J36" s="4">
        <v>1</v>
      </c>
      <c r="K36">
        <v>0</v>
      </c>
      <c r="L36">
        <v>25956.41</v>
      </c>
      <c r="M36">
        <v>0</v>
      </c>
      <c r="N36">
        <v>0</v>
      </c>
      <c r="Q36" s="4" t="s">
        <v>13</v>
      </c>
      <c r="R36" s="4">
        <v>1</v>
      </c>
      <c r="S36">
        <v>0</v>
      </c>
      <c r="T36">
        <v>0</v>
      </c>
      <c r="U36">
        <v>0</v>
      </c>
      <c r="V36">
        <v>0</v>
      </c>
      <c r="Y36" s="4" t="s">
        <v>13</v>
      </c>
      <c r="Z36" s="4">
        <v>1</v>
      </c>
      <c r="AA36">
        <v>0</v>
      </c>
      <c r="AB36">
        <v>0</v>
      </c>
      <c r="AC36">
        <v>0</v>
      </c>
      <c r="AD36">
        <v>0</v>
      </c>
    </row>
    <row r="37" spans="1:30" x14ac:dyDescent="0.3">
      <c r="A37" s="4"/>
      <c r="B37" s="4">
        <v>2</v>
      </c>
      <c r="C37">
        <v>72894.616999999998</v>
      </c>
      <c r="D37">
        <v>208219.97</v>
      </c>
      <c r="E37">
        <v>56054.582999999999</v>
      </c>
      <c r="F37">
        <v>46910.402000000002</v>
      </c>
      <c r="I37" s="4"/>
      <c r="J37" s="4">
        <v>2</v>
      </c>
      <c r="K37">
        <v>0</v>
      </c>
      <c r="L37">
        <v>16088.319</v>
      </c>
      <c r="M37">
        <v>0</v>
      </c>
      <c r="N37">
        <v>0</v>
      </c>
      <c r="Q37" s="4"/>
      <c r="R37" s="4">
        <v>2</v>
      </c>
      <c r="S37">
        <v>0</v>
      </c>
      <c r="T37">
        <v>0</v>
      </c>
      <c r="U37">
        <v>0</v>
      </c>
      <c r="V37">
        <v>0</v>
      </c>
      <c r="Y37" s="4"/>
      <c r="Z37" s="4">
        <v>2</v>
      </c>
      <c r="AA37">
        <v>0</v>
      </c>
      <c r="AB37">
        <v>0</v>
      </c>
      <c r="AC37">
        <v>0</v>
      </c>
      <c r="AD37">
        <v>0</v>
      </c>
    </row>
    <row r="38" spans="1:30" x14ac:dyDescent="0.3">
      <c r="A38" s="4"/>
      <c r="B38" s="4">
        <v>3</v>
      </c>
      <c r="C38">
        <v>75061.25</v>
      </c>
      <c r="D38">
        <v>222042.859</v>
      </c>
      <c r="E38">
        <v>173142.595</v>
      </c>
      <c r="F38">
        <v>42996.68</v>
      </c>
      <c r="I38" s="4"/>
      <c r="J38" s="4">
        <v>3</v>
      </c>
      <c r="K38">
        <v>0</v>
      </c>
      <c r="L38">
        <v>17590.579000000002</v>
      </c>
      <c r="M38">
        <v>0</v>
      </c>
      <c r="N38">
        <v>0</v>
      </c>
      <c r="Q38" s="4"/>
      <c r="R38" s="4">
        <v>3</v>
      </c>
      <c r="S38">
        <v>0</v>
      </c>
      <c r="T38">
        <v>0</v>
      </c>
      <c r="U38">
        <v>0</v>
      </c>
      <c r="V38">
        <v>0</v>
      </c>
      <c r="Y38" s="4"/>
      <c r="Z38" s="4">
        <v>3</v>
      </c>
      <c r="AA38">
        <v>0</v>
      </c>
      <c r="AB38">
        <v>0</v>
      </c>
      <c r="AC38">
        <v>0</v>
      </c>
      <c r="AD38">
        <v>0</v>
      </c>
    </row>
    <row r="42" spans="1:30" ht="18" x14ac:dyDescent="0.35">
      <c r="A42" s="7" t="s">
        <v>15</v>
      </c>
      <c r="B42" s="8"/>
      <c r="C42" s="10" t="s">
        <v>26</v>
      </c>
      <c r="D42" s="10" t="s">
        <v>8</v>
      </c>
      <c r="E42" s="11" t="s">
        <v>9</v>
      </c>
      <c r="F42" s="11" t="s">
        <v>10</v>
      </c>
      <c r="I42" s="7" t="s">
        <v>15</v>
      </c>
      <c r="J42" s="8"/>
      <c r="K42" s="10" t="s">
        <v>26</v>
      </c>
      <c r="L42" s="10" t="s">
        <v>8</v>
      </c>
      <c r="M42" s="11" t="s">
        <v>9</v>
      </c>
      <c r="N42" s="11" t="s">
        <v>10</v>
      </c>
      <c r="Q42" s="7" t="s">
        <v>15</v>
      </c>
      <c r="R42" s="8"/>
      <c r="S42" s="10" t="s">
        <v>26</v>
      </c>
      <c r="T42" s="10" t="s">
        <v>8</v>
      </c>
      <c r="U42" s="11" t="s">
        <v>9</v>
      </c>
      <c r="V42" s="11" t="s">
        <v>10</v>
      </c>
      <c r="Y42" s="7" t="s">
        <v>15</v>
      </c>
      <c r="Z42" s="8"/>
      <c r="AA42" s="10" t="s">
        <v>26</v>
      </c>
      <c r="AB42" s="10" t="s">
        <v>8</v>
      </c>
      <c r="AC42" s="11" t="s">
        <v>9</v>
      </c>
      <c r="AD42" s="11" t="s">
        <v>10</v>
      </c>
    </row>
    <row r="43" spans="1:30" x14ac:dyDescent="0.3">
      <c r="B43" s="4" t="s">
        <v>16</v>
      </c>
      <c r="C43" t="s">
        <v>17</v>
      </c>
      <c r="D43" t="s">
        <v>17</v>
      </c>
      <c r="E43" t="s">
        <v>17</v>
      </c>
      <c r="F43" t="s">
        <v>17</v>
      </c>
      <c r="J43" s="4" t="s">
        <v>16</v>
      </c>
      <c r="K43" t="s">
        <v>17</v>
      </c>
      <c r="L43" t="s">
        <v>17</v>
      </c>
      <c r="M43" t="s">
        <v>17</v>
      </c>
      <c r="N43" t="s">
        <v>17</v>
      </c>
      <c r="R43" s="4" t="s">
        <v>16</v>
      </c>
      <c r="S43" t="s">
        <v>17</v>
      </c>
      <c r="T43" t="s">
        <v>17</v>
      </c>
      <c r="U43" t="s">
        <v>17</v>
      </c>
      <c r="V43" t="s">
        <v>17</v>
      </c>
      <c r="Z43" s="4" t="s">
        <v>16</v>
      </c>
      <c r="AA43" t="s">
        <v>17</v>
      </c>
      <c r="AB43" t="s">
        <v>17</v>
      </c>
      <c r="AC43" t="s">
        <v>17</v>
      </c>
      <c r="AD43" t="s">
        <v>17</v>
      </c>
    </row>
    <row r="44" spans="1:30" x14ac:dyDescent="0.3">
      <c r="A44" s="4" t="s">
        <v>13</v>
      </c>
      <c r="B44" s="4">
        <v>1</v>
      </c>
      <c r="C44">
        <v>382153.84399999998</v>
      </c>
      <c r="D44">
        <v>1076326.375</v>
      </c>
      <c r="E44">
        <v>231325.59400000001</v>
      </c>
      <c r="F44">
        <v>21326.162</v>
      </c>
      <c r="I44" s="4" t="s">
        <v>13</v>
      </c>
      <c r="J44" s="4">
        <v>1</v>
      </c>
      <c r="K44">
        <v>0</v>
      </c>
      <c r="L44">
        <v>338449.88500000001</v>
      </c>
      <c r="M44">
        <v>0</v>
      </c>
      <c r="N44">
        <v>0</v>
      </c>
      <c r="Q44" s="4" t="s">
        <v>13</v>
      </c>
      <c r="R44" s="4">
        <v>1</v>
      </c>
      <c r="S44">
        <v>0</v>
      </c>
      <c r="T44">
        <v>144911.82800000001</v>
      </c>
      <c r="U44">
        <v>0</v>
      </c>
      <c r="V44">
        <v>0</v>
      </c>
      <c r="Y44" s="4" t="s">
        <v>13</v>
      </c>
      <c r="Z44" s="4">
        <v>1</v>
      </c>
      <c r="AA44">
        <v>0</v>
      </c>
      <c r="AB44">
        <v>0</v>
      </c>
      <c r="AC44">
        <v>0</v>
      </c>
      <c r="AD44">
        <v>0</v>
      </c>
    </row>
    <row r="45" spans="1:30" x14ac:dyDescent="0.3">
      <c r="A45" s="4"/>
      <c r="B45" s="4">
        <v>2</v>
      </c>
      <c r="C45">
        <v>326578.90600000002</v>
      </c>
      <c r="D45">
        <v>1302306.8540000001</v>
      </c>
      <c r="E45">
        <v>117549.55499999999</v>
      </c>
      <c r="F45">
        <v>33671.370999999999</v>
      </c>
      <c r="I45" s="4"/>
      <c r="J45" s="4">
        <v>2</v>
      </c>
      <c r="K45">
        <v>0</v>
      </c>
      <c r="L45">
        <v>138105.78099999999</v>
      </c>
      <c r="M45">
        <v>0</v>
      </c>
      <c r="N45">
        <v>0</v>
      </c>
      <c r="Q45" s="4"/>
      <c r="R45" s="4">
        <v>2</v>
      </c>
      <c r="S45">
        <v>0</v>
      </c>
      <c r="T45">
        <v>30385.893</v>
      </c>
      <c r="U45">
        <v>0</v>
      </c>
      <c r="V45">
        <v>0</v>
      </c>
      <c r="Y45" s="4"/>
      <c r="Z45" s="4">
        <v>2</v>
      </c>
      <c r="AA45">
        <v>0</v>
      </c>
      <c r="AB45">
        <v>0</v>
      </c>
      <c r="AC45">
        <v>0</v>
      </c>
      <c r="AD45">
        <v>0</v>
      </c>
    </row>
    <row r="46" spans="1:30" x14ac:dyDescent="0.3">
      <c r="A46" s="4"/>
      <c r="B46" s="4">
        <v>3</v>
      </c>
      <c r="C46">
        <v>321373.70299999998</v>
      </c>
      <c r="D46">
        <v>1290628.25</v>
      </c>
      <c r="E46">
        <v>108294.734</v>
      </c>
      <c r="F46">
        <v>33146.214999999997</v>
      </c>
      <c r="I46" s="4"/>
      <c r="J46" s="4">
        <v>3</v>
      </c>
      <c r="K46">
        <v>0</v>
      </c>
      <c r="L46">
        <v>103480.56299999999</v>
      </c>
      <c r="M46">
        <v>0</v>
      </c>
      <c r="N46">
        <v>0</v>
      </c>
      <c r="Q46" s="4"/>
      <c r="R46" s="4">
        <v>3</v>
      </c>
      <c r="S46">
        <v>0</v>
      </c>
      <c r="T46">
        <v>20102.812999999998</v>
      </c>
      <c r="U46">
        <v>0</v>
      </c>
      <c r="V46">
        <v>0</v>
      </c>
      <c r="Y46" s="4"/>
      <c r="Z46" s="4">
        <v>3</v>
      </c>
      <c r="AA46">
        <v>0</v>
      </c>
      <c r="AB46">
        <v>0</v>
      </c>
      <c r="AC46">
        <v>0</v>
      </c>
      <c r="AD46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6"/>
  <sheetViews>
    <sheetView topLeftCell="A15" workbookViewId="0">
      <selection activeCell="D23" sqref="D23"/>
    </sheetView>
  </sheetViews>
  <sheetFormatPr defaultRowHeight="14.4" x14ac:dyDescent="0.3"/>
  <cols>
    <col min="2" max="3" width="19.5546875" bestFit="1" customWidth="1"/>
    <col min="4" max="4" width="22.44140625" bestFit="1" customWidth="1"/>
    <col min="5" max="5" width="19.5546875" bestFit="1" customWidth="1"/>
    <col min="6" max="6" width="22.6640625" bestFit="1" customWidth="1"/>
    <col min="10" max="10" width="22.44140625" bestFit="1" customWidth="1"/>
    <col min="11" max="11" width="11.88671875" bestFit="1" customWidth="1"/>
    <col min="12" max="12" width="22.44140625" bestFit="1" customWidth="1"/>
    <col min="13" max="13" width="12.109375" bestFit="1" customWidth="1"/>
    <col min="14" max="14" width="22.6640625" bestFit="1" customWidth="1"/>
    <col min="18" max="18" width="23.88671875" bestFit="1" customWidth="1"/>
    <col min="19" max="19" width="11.88671875" bestFit="1" customWidth="1"/>
    <col min="26" max="26" width="23.88671875" bestFit="1" customWidth="1"/>
    <col min="27" max="27" width="12" bestFit="1" customWidth="1"/>
  </cols>
  <sheetData>
    <row r="1" spans="1:30" ht="18" x14ac:dyDescent="0.35">
      <c r="B1" s="1" t="s">
        <v>58</v>
      </c>
      <c r="C1" s="1" t="s">
        <v>51</v>
      </c>
      <c r="J1" s="1" t="s">
        <v>57</v>
      </c>
      <c r="K1" s="1" t="s">
        <v>30</v>
      </c>
      <c r="R1" s="1" t="s">
        <v>49</v>
      </c>
      <c r="S1" s="1" t="s">
        <v>33</v>
      </c>
      <c r="Z1" s="1" t="s">
        <v>50</v>
      </c>
      <c r="AA1" s="1" t="s">
        <v>34</v>
      </c>
    </row>
    <row r="2" spans="1:30" ht="18" x14ac:dyDescent="0.35">
      <c r="A2" s="1" t="s">
        <v>0</v>
      </c>
      <c r="C2" s="6" t="s">
        <v>26</v>
      </c>
      <c r="D2" s="6" t="s">
        <v>8</v>
      </c>
      <c r="E2" s="5" t="s">
        <v>9</v>
      </c>
      <c r="F2" s="5" t="s">
        <v>10</v>
      </c>
      <c r="I2" s="1" t="s">
        <v>0</v>
      </c>
      <c r="K2" s="6" t="s">
        <v>26</v>
      </c>
      <c r="L2" s="6" t="s">
        <v>8</v>
      </c>
      <c r="M2" s="5" t="s">
        <v>9</v>
      </c>
      <c r="N2" s="5" t="s">
        <v>10</v>
      </c>
      <c r="Q2" s="1" t="s">
        <v>0</v>
      </c>
      <c r="S2" s="6" t="s">
        <v>26</v>
      </c>
      <c r="T2" s="6" t="s">
        <v>8</v>
      </c>
      <c r="U2" s="5" t="s">
        <v>9</v>
      </c>
      <c r="V2" s="5" t="s">
        <v>10</v>
      </c>
      <c r="Y2" s="1" t="s">
        <v>0</v>
      </c>
      <c r="AA2" s="6" t="s">
        <v>26</v>
      </c>
      <c r="AB2" s="6" t="s">
        <v>8</v>
      </c>
      <c r="AC2" s="5" t="s">
        <v>9</v>
      </c>
      <c r="AD2" s="5" t="s">
        <v>10</v>
      </c>
    </row>
    <row r="3" spans="1:30" x14ac:dyDescent="0.3">
      <c r="B3" s="4" t="s">
        <v>11</v>
      </c>
      <c r="C3" t="s">
        <v>12</v>
      </c>
      <c r="D3" t="s">
        <v>12</v>
      </c>
      <c r="E3" t="s">
        <v>12</v>
      </c>
      <c r="F3" t="s">
        <v>12</v>
      </c>
      <c r="J3" s="4" t="s">
        <v>11</v>
      </c>
      <c r="K3" t="s">
        <v>12</v>
      </c>
      <c r="L3" t="s">
        <v>12</v>
      </c>
      <c r="M3" t="s">
        <v>12</v>
      </c>
      <c r="N3" t="s">
        <v>12</v>
      </c>
      <c r="R3" s="4" t="s">
        <v>11</v>
      </c>
      <c r="S3" t="s">
        <v>12</v>
      </c>
      <c r="T3" t="s">
        <v>12</v>
      </c>
      <c r="U3" t="s">
        <v>12</v>
      </c>
      <c r="V3" t="s">
        <v>12</v>
      </c>
      <c r="Z3" s="4" t="s">
        <v>11</v>
      </c>
      <c r="AA3" t="s">
        <v>12</v>
      </c>
      <c r="AB3" t="s">
        <v>12</v>
      </c>
      <c r="AC3" t="s">
        <v>12</v>
      </c>
      <c r="AD3" t="s">
        <v>12</v>
      </c>
    </row>
    <row r="4" spans="1:30" x14ac:dyDescent="0.3">
      <c r="A4" s="4" t="s">
        <v>13</v>
      </c>
      <c r="B4" s="4">
        <v>1</v>
      </c>
      <c r="C4">
        <v>0</v>
      </c>
      <c r="D4">
        <v>0</v>
      </c>
      <c r="E4">
        <v>0</v>
      </c>
      <c r="F4">
        <v>0</v>
      </c>
      <c r="I4" s="4" t="s">
        <v>13</v>
      </c>
      <c r="J4" s="4">
        <v>1</v>
      </c>
      <c r="K4">
        <v>0</v>
      </c>
      <c r="L4">
        <v>0</v>
      </c>
      <c r="M4">
        <v>0</v>
      </c>
      <c r="N4">
        <v>0</v>
      </c>
      <c r="Q4" s="4" t="s">
        <v>13</v>
      </c>
      <c r="R4" s="4">
        <v>1</v>
      </c>
      <c r="S4">
        <v>0</v>
      </c>
      <c r="T4">
        <v>0</v>
      </c>
      <c r="U4">
        <v>0</v>
      </c>
      <c r="V4">
        <v>0</v>
      </c>
      <c r="Y4" s="4" t="s">
        <v>13</v>
      </c>
      <c r="Z4" s="4">
        <v>1</v>
      </c>
      <c r="AA4">
        <v>0</v>
      </c>
      <c r="AB4">
        <v>0</v>
      </c>
      <c r="AC4">
        <v>0</v>
      </c>
      <c r="AD4">
        <v>0</v>
      </c>
    </row>
    <row r="5" spans="1:30" x14ac:dyDescent="0.3">
      <c r="A5" s="4"/>
      <c r="B5" s="4">
        <v>2</v>
      </c>
      <c r="C5">
        <v>0</v>
      </c>
      <c r="D5">
        <v>0</v>
      </c>
      <c r="E5">
        <v>0</v>
      </c>
      <c r="F5">
        <v>0</v>
      </c>
      <c r="I5" s="4"/>
      <c r="J5" s="4">
        <v>2</v>
      </c>
      <c r="K5">
        <v>0</v>
      </c>
      <c r="L5">
        <v>0</v>
      </c>
      <c r="M5">
        <v>0</v>
      </c>
      <c r="N5">
        <v>0</v>
      </c>
      <c r="Q5" s="4"/>
      <c r="R5" s="4">
        <v>2</v>
      </c>
      <c r="S5">
        <v>0</v>
      </c>
      <c r="T5">
        <v>0</v>
      </c>
      <c r="U5">
        <v>0</v>
      </c>
      <c r="V5">
        <v>0</v>
      </c>
      <c r="Y5" s="4"/>
      <c r="Z5" s="4">
        <v>2</v>
      </c>
      <c r="AA5">
        <v>0</v>
      </c>
      <c r="AB5">
        <v>0</v>
      </c>
      <c r="AC5">
        <v>0</v>
      </c>
      <c r="AD5">
        <v>0</v>
      </c>
    </row>
    <row r="6" spans="1:30" x14ac:dyDescent="0.3">
      <c r="A6" s="4"/>
      <c r="B6" s="4">
        <v>3</v>
      </c>
      <c r="C6">
        <v>0</v>
      </c>
      <c r="D6">
        <v>0</v>
      </c>
      <c r="E6">
        <v>0</v>
      </c>
      <c r="F6">
        <v>0</v>
      </c>
      <c r="I6" s="4"/>
      <c r="J6" s="4">
        <v>3</v>
      </c>
      <c r="K6">
        <v>0</v>
      </c>
      <c r="L6">
        <v>0</v>
      </c>
      <c r="M6">
        <v>0</v>
      </c>
      <c r="N6">
        <v>0</v>
      </c>
      <c r="Q6" s="4"/>
      <c r="R6" s="4">
        <v>3</v>
      </c>
      <c r="S6">
        <v>0</v>
      </c>
      <c r="T6">
        <v>0</v>
      </c>
      <c r="U6">
        <v>0</v>
      </c>
      <c r="V6">
        <v>0</v>
      </c>
      <c r="Y6" s="4"/>
      <c r="Z6" s="4">
        <v>3</v>
      </c>
      <c r="AA6">
        <v>0</v>
      </c>
      <c r="AB6">
        <v>0</v>
      </c>
      <c r="AC6">
        <v>0</v>
      </c>
      <c r="AD6">
        <v>0</v>
      </c>
    </row>
    <row r="10" spans="1:30" ht="18" x14ac:dyDescent="0.35">
      <c r="A10" s="1" t="s">
        <v>14</v>
      </c>
      <c r="C10" s="6" t="s">
        <v>26</v>
      </c>
      <c r="D10" s="6" t="s">
        <v>8</v>
      </c>
      <c r="E10" s="5" t="s">
        <v>9</v>
      </c>
      <c r="F10" s="5" t="s">
        <v>10</v>
      </c>
      <c r="I10" s="1" t="s">
        <v>14</v>
      </c>
      <c r="K10" s="6" t="s">
        <v>26</v>
      </c>
      <c r="L10" s="6" t="s">
        <v>8</v>
      </c>
      <c r="M10" s="5" t="s">
        <v>9</v>
      </c>
      <c r="N10" s="5" t="s">
        <v>10</v>
      </c>
      <c r="Q10" s="1" t="s">
        <v>14</v>
      </c>
      <c r="S10" s="6" t="s">
        <v>26</v>
      </c>
      <c r="T10" s="6" t="s">
        <v>8</v>
      </c>
      <c r="U10" s="5" t="s">
        <v>9</v>
      </c>
      <c r="V10" s="5" t="s">
        <v>10</v>
      </c>
      <c r="Y10" s="1" t="s">
        <v>14</v>
      </c>
      <c r="AA10" s="6" t="s">
        <v>26</v>
      </c>
      <c r="AB10" s="6" t="s">
        <v>8</v>
      </c>
      <c r="AC10" s="5" t="s">
        <v>9</v>
      </c>
      <c r="AD10" s="5" t="s">
        <v>10</v>
      </c>
    </row>
    <row r="11" spans="1:30" x14ac:dyDescent="0.3">
      <c r="B11" s="4" t="s">
        <v>11</v>
      </c>
      <c r="C11" t="s">
        <v>12</v>
      </c>
      <c r="D11" t="s">
        <v>12</v>
      </c>
      <c r="E11" t="s">
        <v>12</v>
      </c>
      <c r="F11" t="s">
        <v>12</v>
      </c>
      <c r="J11" s="4" t="s">
        <v>11</v>
      </c>
      <c r="K11" t="s">
        <v>12</v>
      </c>
      <c r="L11" t="s">
        <v>12</v>
      </c>
      <c r="M11" t="s">
        <v>12</v>
      </c>
      <c r="N11" t="s">
        <v>12</v>
      </c>
      <c r="R11" s="4" t="s">
        <v>11</v>
      </c>
      <c r="S11" t="s">
        <v>12</v>
      </c>
      <c r="T11" t="s">
        <v>12</v>
      </c>
      <c r="U11" t="s">
        <v>12</v>
      </c>
      <c r="V11" t="s">
        <v>12</v>
      </c>
      <c r="Z11" s="4" t="s">
        <v>11</v>
      </c>
      <c r="AA11" t="s">
        <v>12</v>
      </c>
      <c r="AB11" t="s">
        <v>12</v>
      </c>
      <c r="AC11" t="s">
        <v>12</v>
      </c>
      <c r="AD11" t="s">
        <v>12</v>
      </c>
    </row>
    <row r="12" spans="1:30" x14ac:dyDescent="0.3">
      <c r="A12" s="4" t="s">
        <v>13</v>
      </c>
      <c r="B12" s="4">
        <v>1</v>
      </c>
      <c r="C12" s="12">
        <v>249.53720000000001</v>
      </c>
      <c r="D12" s="12">
        <v>933.12720000000002</v>
      </c>
      <c r="E12" s="12">
        <v>335.05329999999998</v>
      </c>
      <c r="F12" s="12">
        <v>0</v>
      </c>
      <c r="I12" s="4" t="s">
        <v>13</v>
      </c>
      <c r="J12" s="4">
        <v>1</v>
      </c>
      <c r="Q12" s="4" t="s">
        <v>13</v>
      </c>
      <c r="R12" s="4">
        <v>1</v>
      </c>
      <c r="Y12" s="4" t="s">
        <v>13</v>
      </c>
      <c r="Z12" s="4">
        <v>1</v>
      </c>
    </row>
    <row r="13" spans="1:30" x14ac:dyDescent="0.3">
      <c r="A13" s="4"/>
      <c r="B13" s="4">
        <v>2</v>
      </c>
      <c r="C13" s="12">
        <v>191.77879999999999</v>
      </c>
      <c r="D13" s="12">
        <v>692.03430000000003</v>
      </c>
      <c r="E13" s="12">
        <v>272.28300000000002</v>
      </c>
      <c r="F13" s="12">
        <v>0</v>
      </c>
      <c r="I13" s="4"/>
      <c r="J13" s="4">
        <v>2</v>
      </c>
      <c r="Q13" s="4"/>
      <c r="R13" s="4">
        <v>2</v>
      </c>
      <c r="Y13" s="4"/>
      <c r="Z13" s="4">
        <v>2</v>
      </c>
    </row>
    <row r="14" spans="1:30" x14ac:dyDescent="0.3">
      <c r="A14" s="4"/>
      <c r="B14" s="4">
        <v>3</v>
      </c>
      <c r="C14" s="12">
        <v>181.37530000000001</v>
      </c>
      <c r="D14" s="12">
        <v>561.90139999999997</v>
      </c>
      <c r="E14" s="12">
        <v>652.40509999999995</v>
      </c>
      <c r="F14" s="12">
        <v>0</v>
      </c>
      <c r="I14" s="4"/>
      <c r="J14" s="4">
        <v>3</v>
      </c>
      <c r="Q14" s="4"/>
      <c r="R14" s="4">
        <v>3</v>
      </c>
      <c r="Y14" s="4"/>
      <c r="Z14" s="4">
        <v>3</v>
      </c>
    </row>
    <row r="15" spans="1:30" x14ac:dyDescent="0.3">
      <c r="B15" t="s">
        <v>59</v>
      </c>
      <c r="C15" s="12">
        <f>AVERAGE(C12:C14)</f>
        <v>207.56376666666668</v>
      </c>
      <c r="D15" s="12">
        <f t="shared" ref="D15:F15" si="0">AVERAGE(D12:D14)</f>
        <v>729.0209666666666</v>
      </c>
      <c r="E15" s="12">
        <f t="shared" si="0"/>
        <v>419.91379999999998</v>
      </c>
      <c r="F15" s="12">
        <f t="shared" si="0"/>
        <v>0</v>
      </c>
    </row>
    <row r="16" spans="1:30" x14ac:dyDescent="0.3">
      <c r="C16" s="12"/>
      <c r="D16" s="12"/>
      <c r="E16" s="12"/>
      <c r="F16" s="12"/>
    </row>
    <row r="18" spans="1:30" ht="18" x14ac:dyDescent="0.35">
      <c r="A18" s="1" t="s">
        <v>15</v>
      </c>
      <c r="C18" s="6" t="s">
        <v>26</v>
      </c>
      <c r="D18" s="6" t="s">
        <v>8</v>
      </c>
      <c r="E18" s="5" t="s">
        <v>9</v>
      </c>
      <c r="F18" s="5" t="s">
        <v>10</v>
      </c>
      <c r="I18" s="1" t="s">
        <v>15</v>
      </c>
      <c r="K18" s="6" t="s">
        <v>26</v>
      </c>
      <c r="L18" s="6" t="s">
        <v>8</v>
      </c>
      <c r="M18" s="5" t="s">
        <v>9</v>
      </c>
      <c r="N18" s="5" t="s">
        <v>10</v>
      </c>
      <c r="Q18" s="1" t="s">
        <v>15</v>
      </c>
      <c r="S18" s="6" t="s">
        <v>26</v>
      </c>
      <c r="T18" s="6" t="s">
        <v>8</v>
      </c>
      <c r="U18" s="5" t="s">
        <v>9</v>
      </c>
      <c r="V18" s="5" t="s">
        <v>10</v>
      </c>
      <c r="Y18" s="1" t="s">
        <v>15</v>
      </c>
      <c r="AA18" s="6" t="s">
        <v>26</v>
      </c>
      <c r="AB18" s="6" t="s">
        <v>8</v>
      </c>
      <c r="AC18" s="5" t="s">
        <v>9</v>
      </c>
      <c r="AD18" s="5" t="s">
        <v>10</v>
      </c>
    </row>
    <row r="19" spans="1:30" x14ac:dyDescent="0.3">
      <c r="B19" s="4" t="s">
        <v>11</v>
      </c>
      <c r="C19" t="s">
        <v>12</v>
      </c>
      <c r="D19" t="s">
        <v>12</v>
      </c>
      <c r="E19" t="s">
        <v>12</v>
      </c>
      <c r="F19" t="s">
        <v>12</v>
      </c>
      <c r="J19" s="4" t="s">
        <v>11</v>
      </c>
      <c r="K19" t="s">
        <v>12</v>
      </c>
      <c r="L19" t="s">
        <v>12</v>
      </c>
      <c r="M19" t="s">
        <v>12</v>
      </c>
      <c r="N19" t="s">
        <v>12</v>
      </c>
      <c r="R19" s="4" t="s">
        <v>11</v>
      </c>
      <c r="S19" t="s">
        <v>12</v>
      </c>
      <c r="T19" t="s">
        <v>12</v>
      </c>
      <c r="U19" t="s">
        <v>12</v>
      </c>
      <c r="V19" t="s">
        <v>12</v>
      </c>
      <c r="Z19" s="4" t="s">
        <v>11</v>
      </c>
      <c r="AA19" t="s">
        <v>12</v>
      </c>
      <c r="AB19" t="s">
        <v>12</v>
      </c>
      <c r="AC19" t="s">
        <v>12</v>
      </c>
      <c r="AD19" t="s">
        <v>12</v>
      </c>
    </row>
    <row r="20" spans="1:30" x14ac:dyDescent="0.3">
      <c r="A20" s="4" t="s">
        <v>13</v>
      </c>
      <c r="B20" s="4">
        <v>1</v>
      </c>
      <c r="C20" s="12">
        <v>640.56089999999995</v>
      </c>
      <c r="D20" s="12">
        <v>8337.1054000000004</v>
      </c>
      <c r="E20" s="12">
        <v>840.54579999999999</v>
      </c>
      <c r="F20" s="12">
        <v>236.68539999999999</v>
      </c>
      <c r="I20" s="4" t="s">
        <v>13</v>
      </c>
      <c r="J20" s="4">
        <v>1</v>
      </c>
      <c r="Q20" s="4" t="s">
        <v>13</v>
      </c>
      <c r="R20" s="4">
        <v>1</v>
      </c>
      <c r="Y20" s="4" t="s">
        <v>13</v>
      </c>
      <c r="Z20" s="4">
        <v>1</v>
      </c>
    </row>
    <row r="21" spans="1:30" x14ac:dyDescent="0.3">
      <c r="A21" s="4"/>
      <c r="B21" s="4">
        <v>2</v>
      </c>
      <c r="C21" s="12">
        <v>668.23929999999996</v>
      </c>
      <c r="D21" s="12">
        <v>6750.6193000000003</v>
      </c>
      <c r="E21" s="12">
        <v>470.0899</v>
      </c>
      <c r="F21" s="12">
        <v>45.942300000000003</v>
      </c>
      <c r="I21" s="4"/>
      <c r="J21" s="4">
        <v>2</v>
      </c>
      <c r="Q21" s="4"/>
      <c r="R21" s="4">
        <v>2</v>
      </c>
      <c r="Y21" s="4"/>
      <c r="Z21" s="4">
        <v>2</v>
      </c>
    </row>
    <row r="22" spans="1:30" x14ac:dyDescent="0.3">
      <c r="A22" s="4"/>
      <c r="B22" s="4">
        <v>3</v>
      </c>
      <c r="C22" s="12">
        <v>648.05939999999998</v>
      </c>
      <c r="D22" s="12">
        <v>6022.8498</v>
      </c>
      <c r="E22" s="12">
        <v>381.67950000000002</v>
      </c>
      <c r="F22" s="12">
        <v>0</v>
      </c>
      <c r="I22" s="4"/>
      <c r="J22" s="4">
        <v>3</v>
      </c>
      <c r="Q22" s="4"/>
      <c r="R22" s="4">
        <v>3</v>
      </c>
      <c r="Y22" s="4"/>
      <c r="Z22" s="4">
        <v>3</v>
      </c>
    </row>
    <row r="23" spans="1:30" x14ac:dyDescent="0.3">
      <c r="B23" t="s">
        <v>59</v>
      </c>
      <c r="C23" s="12">
        <f>AVERAGE(C20:C22)</f>
        <v>652.2865333333333</v>
      </c>
      <c r="D23" s="12">
        <f t="shared" ref="D23:F23" si="1">AVERAGE(D20:D22)</f>
        <v>7036.8581666666678</v>
      </c>
      <c r="E23" s="12">
        <f t="shared" si="1"/>
        <v>564.10506666666663</v>
      </c>
      <c r="F23" s="12">
        <f t="shared" si="1"/>
        <v>94.20923333333333</v>
      </c>
    </row>
    <row r="26" spans="1:30" ht="18" x14ac:dyDescent="0.35">
      <c r="A26" s="7" t="s">
        <v>0</v>
      </c>
      <c r="B26" s="8"/>
      <c r="C26" s="10" t="s">
        <v>26</v>
      </c>
      <c r="D26" s="10" t="s">
        <v>8</v>
      </c>
      <c r="E26" s="11" t="s">
        <v>9</v>
      </c>
      <c r="F26" s="11" t="s">
        <v>10</v>
      </c>
      <c r="I26" s="7" t="s">
        <v>0</v>
      </c>
      <c r="J26" s="8"/>
      <c r="K26" s="10" t="s">
        <v>26</v>
      </c>
      <c r="L26" s="10" t="s">
        <v>8</v>
      </c>
      <c r="M26" s="11" t="s">
        <v>9</v>
      </c>
      <c r="N26" s="11" t="s">
        <v>10</v>
      </c>
      <c r="Q26" s="7" t="s">
        <v>0</v>
      </c>
      <c r="R26" s="8"/>
      <c r="S26" s="10" t="s">
        <v>26</v>
      </c>
      <c r="T26" s="10" t="s">
        <v>8</v>
      </c>
      <c r="U26" s="11" t="s">
        <v>9</v>
      </c>
      <c r="V26" s="11" t="s">
        <v>10</v>
      </c>
      <c r="Y26" s="7" t="s">
        <v>0</v>
      </c>
      <c r="Z26" s="8"/>
      <c r="AA26" s="10" t="s">
        <v>26</v>
      </c>
      <c r="AB26" s="10" t="s">
        <v>8</v>
      </c>
      <c r="AC26" s="11" t="s">
        <v>9</v>
      </c>
      <c r="AD26" s="11" t="s">
        <v>10</v>
      </c>
    </row>
    <row r="27" spans="1:30" x14ac:dyDescent="0.3">
      <c r="B27" s="4" t="s">
        <v>16</v>
      </c>
      <c r="C27" t="s">
        <v>17</v>
      </c>
      <c r="D27" t="s">
        <v>17</v>
      </c>
      <c r="E27" t="s">
        <v>17</v>
      </c>
      <c r="F27" t="s">
        <v>17</v>
      </c>
      <c r="J27" s="4" t="s">
        <v>16</v>
      </c>
      <c r="K27" t="s">
        <v>17</v>
      </c>
      <c r="L27" t="s">
        <v>17</v>
      </c>
      <c r="M27" t="s">
        <v>17</v>
      </c>
      <c r="N27" t="s">
        <v>17</v>
      </c>
      <c r="R27" s="4" t="s">
        <v>16</v>
      </c>
      <c r="S27" t="s">
        <v>17</v>
      </c>
      <c r="T27" t="s">
        <v>17</v>
      </c>
      <c r="U27" t="s">
        <v>17</v>
      </c>
      <c r="V27" t="s">
        <v>17</v>
      </c>
      <c r="Z27" s="4" t="s">
        <v>16</v>
      </c>
      <c r="AA27" t="s">
        <v>17</v>
      </c>
      <c r="AB27" t="s">
        <v>17</v>
      </c>
      <c r="AC27" t="s">
        <v>17</v>
      </c>
      <c r="AD27" t="s">
        <v>17</v>
      </c>
    </row>
    <row r="28" spans="1:30" x14ac:dyDescent="0.3">
      <c r="A28" s="4" t="s">
        <v>13</v>
      </c>
      <c r="B28" s="4">
        <v>1</v>
      </c>
      <c r="C28">
        <v>0</v>
      </c>
      <c r="D28">
        <v>0</v>
      </c>
      <c r="E28">
        <v>0</v>
      </c>
      <c r="F28">
        <v>0</v>
      </c>
      <c r="I28" s="4" t="s">
        <v>13</v>
      </c>
      <c r="J28" s="4">
        <v>1</v>
      </c>
      <c r="K28">
        <v>0</v>
      </c>
      <c r="L28">
        <v>0</v>
      </c>
      <c r="M28">
        <v>0</v>
      </c>
      <c r="N28">
        <v>0</v>
      </c>
      <c r="Q28" s="4" t="s">
        <v>13</v>
      </c>
      <c r="R28" s="4">
        <v>1</v>
      </c>
      <c r="S28">
        <v>0</v>
      </c>
      <c r="T28">
        <v>0</v>
      </c>
      <c r="U28">
        <v>0</v>
      </c>
      <c r="V28">
        <v>0</v>
      </c>
      <c r="Y28" s="4" t="s">
        <v>13</v>
      </c>
      <c r="Z28" s="4">
        <v>1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 s="4"/>
      <c r="B29" s="4">
        <v>2</v>
      </c>
      <c r="C29">
        <v>0</v>
      </c>
      <c r="D29">
        <v>0</v>
      </c>
      <c r="E29">
        <v>0</v>
      </c>
      <c r="F29">
        <v>0</v>
      </c>
      <c r="I29" s="4"/>
      <c r="J29" s="4">
        <v>2</v>
      </c>
      <c r="K29">
        <v>0</v>
      </c>
      <c r="L29">
        <v>0</v>
      </c>
      <c r="M29">
        <v>0</v>
      </c>
      <c r="N29">
        <v>0</v>
      </c>
      <c r="Q29" s="4"/>
      <c r="R29" s="4">
        <v>2</v>
      </c>
      <c r="S29">
        <v>0</v>
      </c>
      <c r="T29">
        <v>0</v>
      </c>
      <c r="U29">
        <v>0</v>
      </c>
      <c r="V29">
        <v>0</v>
      </c>
      <c r="Y29" s="4"/>
      <c r="Z29" s="4">
        <v>2</v>
      </c>
      <c r="AA29">
        <v>0</v>
      </c>
      <c r="AB29">
        <v>0</v>
      </c>
      <c r="AC29">
        <v>0</v>
      </c>
      <c r="AD29">
        <v>0</v>
      </c>
    </row>
    <row r="30" spans="1:30" x14ac:dyDescent="0.3">
      <c r="A30" s="4"/>
      <c r="B30" s="4">
        <v>3</v>
      </c>
      <c r="C30">
        <v>0</v>
      </c>
      <c r="D30">
        <v>0</v>
      </c>
      <c r="E30">
        <v>0</v>
      </c>
      <c r="F30">
        <v>0</v>
      </c>
      <c r="I30" s="4"/>
      <c r="J30" s="4">
        <v>3</v>
      </c>
      <c r="K30">
        <v>0</v>
      </c>
      <c r="L30">
        <v>0</v>
      </c>
      <c r="M30">
        <v>0</v>
      </c>
      <c r="N30">
        <v>0</v>
      </c>
      <c r="Q30" s="4"/>
      <c r="R30" s="4">
        <v>3</v>
      </c>
      <c r="S30">
        <v>0</v>
      </c>
      <c r="T30">
        <v>0</v>
      </c>
      <c r="U30">
        <v>0</v>
      </c>
      <c r="V30">
        <v>0</v>
      </c>
      <c r="Y30" s="4"/>
      <c r="Z30" s="4">
        <v>3</v>
      </c>
      <c r="AA30">
        <v>0</v>
      </c>
      <c r="AB30">
        <v>0</v>
      </c>
      <c r="AC30">
        <v>0</v>
      </c>
      <c r="AD30">
        <v>0</v>
      </c>
    </row>
    <row r="34" spans="1:30" ht="18" x14ac:dyDescent="0.35">
      <c r="A34" s="7" t="s">
        <v>14</v>
      </c>
      <c r="B34" s="8"/>
      <c r="C34" s="10" t="s">
        <v>26</v>
      </c>
      <c r="D34" s="10" t="s">
        <v>8</v>
      </c>
      <c r="E34" s="11" t="s">
        <v>9</v>
      </c>
      <c r="F34" s="11" t="s">
        <v>10</v>
      </c>
      <c r="I34" s="7" t="s">
        <v>14</v>
      </c>
      <c r="J34" s="8"/>
      <c r="K34" s="10" t="s">
        <v>26</v>
      </c>
      <c r="L34" s="10" t="s">
        <v>8</v>
      </c>
      <c r="M34" s="11" t="s">
        <v>9</v>
      </c>
      <c r="N34" s="11" t="s">
        <v>10</v>
      </c>
      <c r="Q34" s="7" t="s">
        <v>14</v>
      </c>
      <c r="R34" s="8"/>
      <c r="S34" s="10" t="s">
        <v>26</v>
      </c>
      <c r="T34" s="10" t="s">
        <v>8</v>
      </c>
      <c r="U34" s="11" t="s">
        <v>9</v>
      </c>
      <c r="V34" s="11" t="s">
        <v>10</v>
      </c>
      <c r="Y34" s="7" t="s">
        <v>14</v>
      </c>
      <c r="Z34" s="8"/>
      <c r="AA34" s="10" t="s">
        <v>26</v>
      </c>
      <c r="AB34" s="10" t="s">
        <v>8</v>
      </c>
      <c r="AC34" s="11" t="s">
        <v>9</v>
      </c>
      <c r="AD34" s="11" t="s">
        <v>10</v>
      </c>
    </row>
    <row r="35" spans="1:30" x14ac:dyDescent="0.3">
      <c r="B35" s="4" t="s">
        <v>16</v>
      </c>
      <c r="C35" t="s">
        <v>17</v>
      </c>
      <c r="D35" t="s">
        <v>17</v>
      </c>
      <c r="E35" t="s">
        <v>17</v>
      </c>
      <c r="F35" t="s">
        <v>17</v>
      </c>
      <c r="J35" s="4" t="s">
        <v>16</v>
      </c>
      <c r="K35" t="s">
        <v>17</v>
      </c>
      <c r="L35" t="s">
        <v>17</v>
      </c>
      <c r="M35" t="s">
        <v>17</v>
      </c>
      <c r="N35" t="s">
        <v>17</v>
      </c>
      <c r="R35" s="4" t="s">
        <v>16</v>
      </c>
      <c r="S35" t="s">
        <v>17</v>
      </c>
      <c r="T35" t="s">
        <v>17</v>
      </c>
      <c r="U35" t="s">
        <v>17</v>
      </c>
      <c r="V35" t="s">
        <v>17</v>
      </c>
      <c r="Z35" s="4" t="s">
        <v>16</v>
      </c>
      <c r="AA35" t="s">
        <v>17</v>
      </c>
      <c r="AB35" t="s">
        <v>17</v>
      </c>
      <c r="AC35" t="s">
        <v>17</v>
      </c>
      <c r="AD35" t="s">
        <v>17</v>
      </c>
    </row>
    <row r="36" spans="1:30" x14ac:dyDescent="0.3">
      <c r="A36" s="4" t="s">
        <v>13</v>
      </c>
      <c r="B36" s="4">
        <v>1</v>
      </c>
      <c r="C36">
        <v>5418.3379999999997</v>
      </c>
      <c r="D36">
        <v>17274.169000000002</v>
      </c>
      <c r="E36">
        <v>4535.8940000000002</v>
      </c>
      <c r="F36">
        <v>0</v>
      </c>
      <c r="I36" s="4" t="s">
        <v>13</v>
      </c>
      <c r="J36" s="4">
        <v>1</v>
      </c>
      <c r="Q36" s="4" t="s">
        <v>13</v>
      </c>
      <c r="R36" s="4">
        <v>1</v>
      </c>
      <c r="Y36" s="4" t="s">
        <v>13</v>
      </c>
      <c r="Z36" s="4">
        <v>1</v>
      </c>
    </row>
    <row r="37" spans="1:30" x14ac:dyDescent="0.3">
      <c r="A37" s="4"/>
      <c r="B37" s="4">
        <v>2</v>
      </c>
      <c r="C37">
        <v>4705.4939999999997</v>
      </c>
      <c r="D37">
        <v>9662.4629999999997</v>
      </c>
      <c r="E37">
        <v>4547.1639999999998</v>
      </c>
      <c r="F37">
        <v>0</v>
      </c>
      <c r="I37" s="4"/>
      <c r="J37" s="4">
        <v>2</v>
      </c>
      <c r="Q37" s="4"/>
      <c r="R37" s="4">
        <v>2</v>
      </c>
      <c r="Y37" s="4"/>
      <c r="Z37" s="4">
        <v>2</v>
      </c>
    </row>
    <row r="38" spans="1:30" x14ac:dyDescent="0.3">
      <c r="A38" s="4"/>
      <c r="B38" s="4">
        <v>3</v>
      </c>
      <c r="C38">
        <v>3817.7370000000001</v>
      </c>
      <c r="D38">
        <v>8768.9609999999993</v>
      </c>
      <c r="E38">
        <v>11302.46</v>
      </c>
      <c r="F38">
        <v>0</v>
      </c>
      <c r="I38" s="4"/>
      <c r="J38" s="4">
        <v>3</v>
      </c>
      <c r="Q38" s="4"/>
      <c r="R38" s="4">
        <v>3</v>
      </c>
      <c r="Y38" s="4"/>
      <c r="Z38" s="4">
        <v>3</v>
      </c>
    </row>
    <row r="42" spans="1:30" ht="18" x14ac:dyDescent="0.35">
      <c r="A42" s="7" t="s">
        <v>15</v>
      </c>
      <c r="B42" s="8"/>
      <c r="C42" s="10" t="s">
        <v>26</v>
      </c>
      <c r="D42" s="10" t="s">
        <v>8</v>
      </c>
      <c r="E42" s="11" t="s">
        <v>9</v>
      </c>
      <c r="F42" s="11" t="s">
        <v>10</v>
      </c>
      <c r="I42" s="7" t="s">
        <v>15</v>
      </c>
      <c r="J42" s="8"/>
      <c r="K42" s="10" t="s">
        <v>26</v>
      </c>
      <c r="L42" s="10" t="s">
        <v>8</v>
      </c>
      <c r="M42" s="11" t="s">
        <v>9</v>
      </c>
      <c r="N42" s="11" t="s">
        <v>10</v>
      </c>
      <c r="Q42" s="7" t="s">
        <v>15</v>
      </c>
      <c r="R42" s="8"/>
      <c r="S42" s="10" t="s">
        <v>26</v>
      </c>
      <c r="T42" s="10" t="s">
        <v>8</v>
      </c>
      <c r="U42" s="11" t="s">
        <v>9</v>
      </c>
      <c r="V42" s="11" t="s">
        <v>10</v>
      </c>
      <c r="Y42" s="7" t="s">
        <v>15</v>
      </c>
      <c r="Z42" s="8"/>
      <c r="AA42" s="10" t="s">
        <v>26</v>
      </c>
      <c r="AB42" s="10" t="s">
        <v>8</v>
      </c>
      <c r="AC42" s="11" t="s">
        <v>9</v>
      </c>
      <c r="AD42" s="11" t="s">
        <v>10</v>
      </c>
    </row>
    <row r="43" spans="1:30" x14ac:dyDescent="0.3">
      <c r="B43" s="4" t="s">
        <v>16</v>
      </c>
      <c r="C43" t="s">
        <v>17</v>
      </c>
      <c r="D43" t="s">
        <v>17</v>
      </c>
      <c r="E43" t="s">
        <v>17</v>
      </c>
      <c r="F43" t="s">
        <v>17</v>
      </c>
      <c r="J43" s="4" t="s">
        <v>16</v>
      </c>
      <c r="K43" t="s">
        <v>17</v>
      </c>
      <c r="L43" t="s">
        <v>17</v>
      </c>
      <c r="M43" t="s">
        <v>17</v>
      </c>
      <c r="N43" t="s">
        <v>17</v>
      </c>
      <c r="R43" s="4" t="s">
        <v>16</v>
      </c>
      <c r="S43" t="s">
        <v>17</v>
      </c>
      <c r="T43" t="s">
        <v>17</v>
      </c>
      <c r="U43" t="s">
        <v>17</v>
      </c>
      <c r="V43" t="s">
        <v>17</v>
      </c>
      <c r="Z43" s="4" t="s">
        <v>16</v>
      </c>
      <c r="AA43" t="s">
        <v>17</v>
      </c>
      <c r="AB43" t="s">
        <v>17</v>
      </c>
      <c r="AC43" t="s">
        <v>17</v>
      </c>
      <c r="AD43" t="s">
        <v>17</v>
      </c>
    </row>
    <row r="44" spans="1:30" x14ac:dyDescent="0.3">
      <c r="A44" s="4" t="s">
        <v>13</v>
      </c>
      <c r="B44" s="4">
        <v>1</v>
      </c>
      <c r="C44">
        <v>9838.9850000000006</v>
      </c>
      <c r="D44">
        <v>141156.25</v>
      </c>
      <c r="E44">
        <v>10185.965</v>
      </c>
      <c r="F44">
        <v>5295.7370000000001</v>
      </c>
      <c r="I44" s="4" t="s">
        <v>13</v>
      </c>
      <c r="J44" s="4">
        <v>1</v>
      </c>
      <c r="Q44" s="4" t="s">
        <v>13</v>
      </c>
      <c r="R44" s="4">
        <v>1</v>
      </c>
      <c r="Y44" s="4" t="s">
        <v>13</v>
      </c>
      <c r="Z44" s="4">
        <v>1</v>
      </c>
    </row>
    <row r="45" spans="1:30" x14ac:dyDescent="0.3">
      <c r="A45" s="4"/>
      <c r="B45" s="4">
        <v>2</v>
      </c>
      <c r="C45">
        <v>9403.5609999999997</v>
      </c>
      <c r="D45">
        <v>105786.289</v>
      </c>
      <c r="E45">
        <v>6599.7190000000001</v>
      </c>
      <c r="F45">
        <v>2942.4679999999998</v>
      </c>
      <c r="I45" s="4"/>
      <c r="J45" s="4">
        <v>2</v>
      </c>
      <c r="Q45" s="4"/>
      <c r="R45" s="4">
        <v>2</v>
      </c>
      <c r="Y45" s="4"/>
      <c r="Z45" s="4">
        <v>2</v>
      </c>
    </row>
    <row r="46" spans="1:30" x14ac:dyDescent="0.3">
      <c r="A46" s="4"/>
      <c r="B46" s="4">
        <v>3</v>
      </c>
      <c r="C46">
        <v>8341.7669999999998</v>
      </c>
      <c r="D46">
        <v>90371.625</v>
      </c>
      <c r="E46">
        <v>4587.2809999999999</v>
      </c>
      <c r="F46">
        <v>0</v>
      </c>
      <c r="I46" s="4"/>
      <c r="J46" s="4">
        <v>3</v>
      </c>
      <c r="Q46" s="4"/>
      <c r="R46" s="4">
        <v>3</v>
      </c>
      <c r="Y46" s="4"/>
      <c r="Z46" s="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DFOB</vt:lpstr>
      <vt:lpstr>DFOB-O</vt:lpstr>
      <vt:lpstr>DFOB-O2</vt:lpstr>
      <vt:lpstr>DFOB-O3</vt:lpstr>
      <vt:lpstr>Coprogen</vt:lpstr>
      <vt:lpstr>Neocoprogen I</vt:lpstr>
      <vt:lpstr>Neocoprogen II</vt:lpstr>
      <vt:lpstr>Coprogen prod. without DFOB</vt:lpstr>
      <vt:lpstr>Necoprogen I prod. wthout DFOB</vt:lpstr>
      <vt:lpstr>Neocoprogen II prod. wtout DFOB</vt:lpstr>
      <vt:lpstr>Dimerum acid prod. wtout DFOB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Baars HPLC</dc:creator>
  <cp:lastModifiedBy>Emmanuel Chukwuma</cp:lastModifiedBy>
  <dcterms:created xsi:type="dcterms:W3CDTF">2025-02-25T19:09:00Z</dcterms:created>
  <dcterms:modified xsi:type="dcterms:W3CDTF">2025-05-07T16:58:10Z</dcterms:modified>
</cp:coreProperties>
</file>